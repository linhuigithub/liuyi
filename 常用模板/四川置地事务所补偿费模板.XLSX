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istrator\Desktop\"/>
    </mc:Choice>
  </mc:AlternateContent>
  <bookViews>
    <workbookView xWindow="-120" yWindow="-120" windowWidth="29040" windowHeight="15840" activeTab="5"/>
  </bookViews>
  <sheets>
    <sheet name="区采 表4.1 综合单价清单" sheetId="7" r:id="rId1"/>
    <sheet name="表2 编制说明" sheetId="8" r:id="rId2"/>
    <sheet name="封面" sheetId="3" state="hidden" r:id="rId3"/>
    <sheet name="编制说明" sheetId="4" state="hidden" r:id="rId4"/>
    <sheet name="表3 汇总表" sheetId="5" state="hidden" r:id="rId5"/>
    <sheet name="计价表（模板）" sheetId="6" r:id="rId6"/>
    <sheet name="工程量计算式" sheetId="2" r:id="rId7"/>
  </sheets>
  <externalReferences>
    <externalReference r:id="rId8"/>
    <externalReference r:id="rId9"/>
    <externalReference r:id="rId10"/>
  </externalReferences>
  <definedNames>
    <definedName name="__xlfn.BAHTTEXT" hidden="1">#NAME?</definedName>
    <definedName name="_3.0_1.5__0.10_0.10">#REF!</definedName>
    <definedName name="_Fill" hidden="1">[1]eqpmad2!#REF!</definedName>
    <definedName name="_xlnm._FilterDatabase" localSheetId="5" hidden="1">'计价表（模板）'!#REF!</definedName>
    <definedName name="_xlnm._FilterDatabase" localSheetId="0" hidden="1">'区采 表4.1 综合单价清单'!$A$10:$P$24</definedName>
    <definedName name="_xlnm._FilterDatabase">#N/A</definedName>
    <definedName name="_Key1" hidden="1">#REF!</definedName>
    <definedName name="_Order1">255</definedName>
    <definedName name="_Order2">255</definedName>
    <definedName name="_Sort" hidden="1">#REF!</definedName>
    <definedName name="A2A3零星">#N/A</definedName>
    <definedName name="A2A3外墙">#N/A</definedName>
    <definedName name="A2A3阳台">#N/A</definedName>
    <definedName name="AAA_DOCTOPS">"AAA_SET"</definedName>
    <definedName name="AAA_duser">"OFF"</definedName>
    <definedName name="AAB_Addin5">"AAB_Description for addin 5,Description for addin 5,Description for addin 5,Description for addin 5,Description for addin 5,Description for addin 5"</definedName>
    <definedName name="dss">#N/A</definedName>
    <definedName name="HWSheet">1</definedName>
    <definedName name="louti" localSheetId="1">B</definedName>
    <definedName name="louti">B</definedName>
    <definedName name="m">"Evaluate+室外园林给排水工程!$E$6"</definedName>
    <definedName name="_xlnm.Print_Area" localSheetId="3">编制说明!$A$1:$K$22</definedName>
    <definedName name="_xlnm.Print_Area" localSheetId="1">'表2 编制说明'!$A$1:$K$23</definedName>
    <definedName name="_xlnm.Print_Area" localSheetId="4">'表3 汇总表'!$A$1:$E$12</definedName>
    <definedName name="_xlnm.Print_Area" localSheetId="2">封面!$A$1:$C$18</definedName>
    <definedName name="_xlnm.Print_Area" localSheetId="5">'计价表（模板）'!$A$1:$O$22</definedName>
    <definedName name="_xlnm.Print_Area" localSheetId="0">'区采 表4.1 综合单价清单'!$A$1:$O$50</definedName>
    <definedName name="_xlnm.Print_Area">#N/A</definedName>
    <definedName name="Print_Area_MI">#REF!</definedName>
    <definedName name="_xlnm.Print_Titles" localSheetId="4">'表3 汇总表'!$1:$7</definedName>
    <definedName name="_xlnm.Print_Titles" localSheetId="0">'区采 表4.1 综合单价清单'!$1:$10</definedName>
    <definedName name="Recorder" hidden="1">#REF!</definedName>
    <definedName name="TACS1" localSheetId="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 localSheetId="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estAdd">"Test RefersTo1"</definedName>
    <definedName name="wrn.output." localSheetId="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wrn.output.">{"scenario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八">'[2]8'!$B$6:$G$9</definedName>
    <definedName name="出">#REF!</definedName>
    <definedName name="二">'[2]2'!$B$6:$G$13</definedName>
    <definedName name="汇率">#REF!</definedName>
    <definedName name="六">'[2]6'!$B$6:$G$8</definedName>
    <definedName name="面积合计">'[2]面积合计（藏）'!$B$5:$H$88</definedName>
    <definedName name="模板计算公式" localSheetId="1">B</definedName>
    <definedName name="模板计算公式">B</definedName>
    <definedName name="内墙、天花、地面" localSheetId="1">B</definedName>
    <definedName name="内墙、天花、地面">B</definedName>
    <definedName name="七">'[2]7'!$B$6:$G$15</definedName>
    <definedName name="三">'[2]3'!$B$6:$G$9</definedName>
    <definedName name="身材列">#REF!</definedName>
    <definedName name="生产列1">#REF!</definedName>
    <definedName name="生产列100">#REF!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25">#REF!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四">'[2]4'!$B$6:$G$43</definedName>
    <definedName name="梯" localSheetId="1">B</definedName>
    <definedName name="梯">B</definedName>
    <definedName name="投标材料清单">'[2]投标材料清单 '!$B$5:$J$75</definedName>
    <definedName name="我">#REF!</definedName>
    <definedName name="五">'[2]5'!$B$6:$G$15</definedName>
    <definedName name="一">'[2]1'!$B$4:$G$7</definedName>
    <definedName name="전">#REF!</definedName>
    <definedName name="주택사업본부">#REF!</definedName>
    <definedName name="철구사업본부">#REF!</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21" i="6" l="1"/>
  <c r="E9" i="6" l="1"/>
  <c r="E13" i="6" s="1"/>
  <c r="E8" i="6"/>
  <c r="E12" i="6" s="1"/>
  <c r="F18" i="7" l="1"/>
  <c r="F12" i="7"/>
  <c r="A1" i="8"/>
  <c r="L43" i="7"/>
  <c r="M43" i="7" s="1"/>
  <c r="L42" i="7"/>
  <c r="M42" i="7" s="1"/>
  <c r="L41" i="7"/>
  <c r="G41" i="7" s="1"/>
  <c r="I41" i="7" s="1"/>
  <c r="L40" i="7"/>
  <c r="M40" i="7" s="1"/>
  <c r="G40" i="7"/>
  <c r="I40" i="7" s="1"/>
  <c r="L39" i="7"/>
  <c r="M39" i="7" s="1"/>
  <c r="L38" i="7"/>
  <c r="M38" i="7" s="1"/>
  <c r="L37" i="7"/>
  <c r="M37" i="7" s="1"/>
  <c r="L36" i="7"/>
  <c r="M36" i="7" s="1"/>
  <c r="L33" i="7"/>
  <c r="M33" i="7" s="1"/>
  <c r="L32" i="7"/>
  <c r="G32" i="7" s="1"/>
  <c r="I32" i="7" s="1"/>
  <c r="L31" i="7"/>
  <c r="M31" i="7" s="1"/>
  <c r="L30" i="7"/>
  <c r="M30" i="7" s="1"/>
  <c r="L29" i="7"/>
  <c r="M29" i="7" s="1"/>
  <c r="L28" i="7"/>
  <c r="M28" i="7" s="1"/>
  <c r="L27" i="7"/>
  <c r="M27" i="7" s="1"/>
  <c r="L24" i="7"/>
  <c r="M24" i="7" s="1"/>
  <c r="L23" i="7"/>
  <c r="M23" i="7" s="1"/>
  <c r="L22" i="7"/>
  <c r="M22" i="7" s="1"/>
  <c r="H22" i="7" s="1"/>
  <c r="J22" i="7" s="1"/>
  <c r="L21" i="7"/>
  <c r="M21" i="7" s="1"/>
  <c r="L20" i="7"/>
  <c r="M20" i="7" s="1"/>
  <c r="H20" i="7" s="1"/>
  <c r="J20" i="7" s="1"/>
  <c r="L19" i="7"/>
  <c r="M19" i="7" s="1"/>
  <c r="L18" i="7"/>
  <c r="M18" i="7" s="1"/>
  <c r="H18" i="7" s="1"/>
  <c r="L17" i="7"/>
  <c r="G17" i="7" s="1"/>
  <c r="I17" i="7" s="1"/>
  <c r="L16" i="7"/>
  <c r="M16" i="7" s="1"/>
  <c r="H16" i="7" s="1"/>
  <c r="J16" i="7" s="1"/>
  <c r="L15" i="7"/>
  <c r="M15" i="7" s="1"/>
  <c r="L14" i="7"/>
  <c r="M14" i="7" s="1"/>
  <c r="H14" i="7" s="1"/>
  <c r="J14" i="7" s="1"/>
  <c r="L13" i="7"/>
  <c r="M13" i="7" s="1"/>
  <c r="L12" i="7"/>
  <c r="M12" i="7" s="1"/>
  <c r="H12" i="7" s="1"/>
  <c r="A1" i="7"/>
  <c r="J18" i="7" l="1"/>
  <c r="D13" i="6"/>
  <c r="D9" i="6"/>
  <c r="D8" i="6"/>
  <c r="D12" i="6"/>
  <c r="F8" i="6"/>
  <c r="F12" i="6"/>
  <c r="G31" i="7"/>
  <c r="I31" i="7" s="1"/>
  <c r="G24" i="7"/>
  <c r="I24" i="7" s="1"/>
  <c r="G29" i="7"/>
  <c r="I29" i="7" s="1"/>
  <c r="G23" i="7"/>
  <c r="I23" i="7" s="1"/>
  <c r="G36" i="7"/>
  <c r="I36" i="7" s="1"/>
  <c r="G38" i="7"/>
  <c r="I38" i="7" s="1"/>
  <c r="G43" i="7"/>
  <c r="I43" i="7" s="1"/>
  <c r="I35" i="7" s="1"/>
  <c r="G33" i="7"/>
  <c r="I33" i="7" s="1"/>
  <c r="G42" i="7"/>
  <c r="I42" i="7" s="1"/>
  <c r="G28" i="7"/>
  <c r="I28" i="7" s="1"/>
  <c r="G14" i="7"/>
  <c r="I14" i="7" s="1"/>
  <c r="G16" i="7"/>
  <c r="I16" i="7" s="1"/>
  <c r="G18" i="7"/>
  <c r="I18" i="7" s="1"/>
  <c r="G20" i="7"/>
  <c r="I20" i="7" s="1"/>
  <c r="G22" i="7"/>
  <c r="I22" i="7" s="1"/>
  <c r="G27" i="7"/>
  <c r="I27" i="7" s="1"/>
  <c r="G30" i="7"/>
  <c r="I30" i="7" s="1"/>
  <c r="G37" i="7"/>
  <c r="I37" i="7" s="1"/>
  <c r="G12" i="7"/>
  <c r="I12" i="7" s="1"/>
  <c r="G39" i="7"/>
  <c r="I39" i="7" s="1"/>
  <c r="J12" i="7"/>
  <c r="I26" i="7"/>
  <c r="G13" i="7"/>
  <c r="I13" i="7" s="1"/>
  <c r="G15" i="7"/>
  <c r="I15" i="7" s="1"/>
  <c r="G19" i="7"/>
  <c r="I19" i="7" s="1"/>
  <c r="G21" i="7"/>
  <c r="I21" i="7" s="1"/>
  <c r="H13" i="7"/>
  <c r="J13" i="7" s="1"/>
  <c r="H15" i="7"/>
  <c r="J15" i="7" s="1"/>
  <c r="M17" i="7"/>
  <c r="H17" i="7" s="1"/>
  <c r="J17" i="7" s="1"/>
  <c r="H19" i="7"/>
  <c r="J19" i="7" s="1"/>
  <c r="H21" i="7"/>
  <c r="J21" i="7" s="1"/>
  <c r="H23" i="7"/>
  <c r="J23" i="7" s="1"/>
  <c r="H28" i="7"/>
  <c r="J28" i="7" s="1"/>
  <c r="H30" i="7"/>
  <c r="J30" i="7" s="1"/>
  <c r="M32" i="7"/>
  <c r="H32" i="7" s="1"/>
  <c r="J32" i="7" s="1"/>
  <c r="H37" i="7"/>
  <c r="J37" i="7" s="1"/>
  <c r="H39" i="7"/>
  <c r="J39" i="7" s="1"/>
  <c r="M41" i="7"/>
  <c r="H41" i="7" s="1"/>
  <c r="J41" i="7" s="1"/>
  <c r="H43" i="7"/>
  <c r="J43" i="7" s="1"/>
  <c r="H24" i="7"/>
  <c r="J24" i="7" s="1"/>
  <c r="H27" i="7"/>
  <c r="J27" i="7" s="1"/>
  <c r="H29" i="7"/>
  <c r="J29" i="7" s="1"/>
  <c r="H31" i="7"/>
  <c r="J31" i="7" s="1"/>
  <c r="H33" i="7"/>
  <c r="J33" i="7" s="1"/>
  <c r="H36" i="7"/>
  <c r="J36" i="7" s="1"/>
  <c r="H38" i="7"/>
  <c r="J38" i="7" s="1"/>
  <c r="H40" i="7"/>
  <c r="J40" i="7" s="1"/>
  <c r="H42" i="7"/>
  <c r="J42" i="7" s="1"/>
  <c r="F13" i="6" l="1"/>
  <c r="F14" i="6" s="1"/>
  <c r="F9" i="6"/>
  <c r="F10" i="6" s="1"/>
  <c r="J35" i="7"/>
  <c r="J11" i="7"/>
  <c r="P11" i="7" s="1"/>
  <c r="I11" i="7"/>
  <c r="I45" i="7" s="1"/>
  <c r="J26" i="7"/>
  <c r="J45" i="7" l="1"/>
  <c r="D16" i="6" l="1"/>
  <c r="E5" i="6"/>
  <c r="F5" i="6" s="1"/>
  <c r="E4" i="6"/>
  <c r="F4" i="6" s="1"/>
  <c r="F6" i="6" s="1"/>
  <c r="F18" i="6" l="1"/>
  <c r="F17" i="6"/>
  <c r="F16" i="6"/>
  <c r="E22" i="2" l="1"/>
  <c r="D22" i="2" s="1"/>
  <c r="C23" i="2"/>
  <c r="D21" i="2"/>
  <c r="E21" i="2" s="1"/>
  <c r="D20" i="2"/>
  <c r="E20" i="2" s="1"/>
  <c r="D19" i="2"/>
  <c r="E19" i="2" s="1"/>
  <c r="E18" i="2"/>
  <c r="E17" i="2"/>
  <c r="E16" i="2"/>
  <c r="E15" i="2"/>
  <c r="E14" i="2"/>
  <c r="E13" i="2"/>
  <c r="E12" i="2"/>
  <c r="E11" i="2"/>
  <c r="E10" i="2"/>
  <c r="E9" i="2"/>
  <c r="D9" i="2"/>
  <c r="E8" i="2"/>
  <c r="D8" i="2"/>
  <c r="E7" i="2"/>
  <c r="D7" i="2"/>
  <c r="E6" i="2"/>
  <c r="D6" i="2"/>
  <c r="E5" i="2"/>
  <c r="D5" i="2"/>
  <c r="E4" i="2"/>
  <c r="D4" i="2"/>
  <c r="E3" i="2"/>
  <c r="D3" i="2"/>
  <c r="J11" i="5"/>
  <c r="I11" i="5"/>
  <c r="J9" i="5"/>
  <c r="I9" i="5"/>
  <c r="J7" i="5"/>
  <c r="I7" i="5"/>
  <c r="D10" i="5" l="1"/>
  <c r="C10" i="5" s="1"/>
  <c r="I10" i="5" s="1"/>
  <c r="D23" i="2"/>
  <c r="E23" i="2"/>
  <c r="J10" i="5"/>
  <c r="D8" i="5" l="1"/>
  <c r="J8" i="5" s="1"/>
  <c r="C8" i="5" l="1"/>
  <c r="D12" i="5"/>
  <c r="J12" i="5" s="1"/>
  <c r="I8" i="5"/>
  <c r="C12" i="5"/>
  <c r="I12" i="5" s="1"/>
</calcChain>
</file>

<file path=xl/comments1.xml><?xml version="1.0" encoding="utf-8"?>
<comments xmlns="http://schemas.openxmlformats.org/spreadsheetml/2006/main">
  <authors>
    <author>China</author>
    <author>微软用户</author>
  </authors>
  <commentList>
    <comment ref="D4" authorId="0" shapeId="0">
      <text>
        <r>
          <rPr>
            <b/>
            <sz val="9"/>
            <color indexed="81"/>
            <rFont val="宋体"/>
            <family val="3"/>
            <charset val="134"/>
          </rPr>
          <t>China:</t>
        </r>
        <r>
          <rPr>
            <sz val="9"/>
            <color indexed="81"/>
            <rFont val="宋体"/>
            <family val="3"/>
            <charset val="134"/>
          </rPr>
          <t xml:space="preserve">
项目咨询合同单价</t>
        </r>
      </text>
    </comment>
    <comment ref="D5" authorId="0" shapeId="0">
      <text>
        <r>
          <rPr>
            <b/>
            <sz val="9"/>
            <color indexed="81"/>
            <rFont val="宋体"/>
            <family val="3"/>
            <charset val="134"/>
          </rPr>
          <t>China:</t>
        </r>
        <r>
          <rPr>
            <sz val="9"/>
            <color indexed="81"/>
            <rFont val="宋体"/>
            <family val="3"/>
            <charset val="134"/>
          </rPr>
          <t xml:space="preserve">
项目咨询合同单价</t>
        </r>
      </text>
    </comment>
    <comment ref="D8" authorId="0" shapeId="0">
      <text>
        <r>
          <rPr>
            <b/>
            <sz val="9"/>
            <color indexed="81"/>
            <rFont val="宋体"/>
            <family val="3"/>
            <charset val="134"/>
          </rPr>
          <t>China:</t>
        </r>
        <r>
          <rPr>
            <sz val="9"/>
            <color indexed="81"/>
            <rFont val="宋体"/>
            <family val="3"/>
            <charset val="134"/>
          </rPr>
          <t xml:space="preserve">
20区采单价 ，匹配业态</t>
        </r>
      </text>
    </comment>
    <comment ref="D9" authorId="0" shapeId="0">
      <text>
        <r>
          <rPr>
            <b/>
            <sz val="9"/>
            <color indexed="81"/>
            <rFont val="宋体"/>
            <family val="3"/>
            <charset val="134"/>
          </rPr>
          <t>China:</t>
        </r>
        <r>
          <rPr>
            <sz val="9"/>
            <color indexed="81"/>
            <rFont val="宋体"/>
            <family val="3"/>
            <charset val="134"/>
          </rPr>
          <t xml:space="preserve">
20区采单价 ，匹配业态</t>
        </r>
      </text>
    </comment>
    <comment ref="D12" authorId="0" shapeId="0">
      <text>
        <r>
          <rPr>
            <b/>
            <sz val="9"/>
            <color indexed="81"/>
            <rFont val="宋体"/>
            <family val="3"/>
            <charset val="134"/>
          </rPr>
          <t>China:</t>
        </r>
        <r>
          <rPr>
            <sz val="9"/>
            <color indexed="81"/>
            <rFont val="宋体"/>
            <family val="3"/>
            <charset val="134"/>
          </rPr>
          <t xml:space="preserve">
20区采单价 ，匹配业态</t>
        </r>
      </text>
    </comment>
    <comment ref="D13" authorId="0" shapeId="0">
      <text>
        <r>
          <rPr>
            <b/>
            <sz val="9"/>
            <color indexed="81"/>
            <rFont val="宋体"/>
            <family val="3"/>
            <charset val="134"/>
          </rPr>
          <t>China:</t>
        </r>
        <r>
          <rPr>
            <sz val="9"/>
            <color indexed="81"/>
            <rFont val="宋体"/>
            <family val="3"/>
            <charset val="134"/>
          </rPr>
          <t xml:space="preserve">
20区采单价 ，匹配业态</t>
        </r>
      </text>
    </comment>
    <comment ref="D16" authorId="1" shapeId="0">
      <text>
        <r>
          <rPr>
            <b/>
            <sz val="9"/>
            <rFont val="宋体"/>
            <family val="3"/>
            <charset val="134"/>
          </rPr>
          <t>微软用户:</t>
        </r>
        <r>
          <rPr>
            <sz val="9"/>
            <rFont val="宋体"/>
            <family val="3"/>
            <charset val="134"/>
          </rPr>
          <t xml:space="preserve">
原总包合同工期为572天即19.07个月，按20个月计</t>
        </r>
      </text>
    </comment>
    <comment ref="D17" authorId="0" shapeId="0">
      <text>
        <r>
          <rPr>
            <b/>
            <sz val="9"/>
            <color indexed="81"/>
            <rFont val="宋体"/>
            <family val="3"/>
            <charset val="134"/>
          </rPr>
          <t>China:</t>
        </r>
        <r>
          <rPr>
            <sz val="9"/>
            <color indexed="81"/>
            <rFont val="宋体"/>
            <family val="3"/>
            <charset val="134"/>
          </rPr>
          <t xml:space="preserve">
根据各项目合同工期计算单月过控咨询费；10000元补偿费参考区采编制说明计算规则第2条</t>
        </r>
      </text>
    </comment>
  </commentList>
</comments>
</file>

<file path=xl/comments2.xml><?xml version="1.0" encoding="utf-8"?>
<comments xmlns="http://schemas.openxmlformats.org/spreadsheetml/2006/main">
  <authors>
    <author>Administrator</author>
  </authors>
  <commentList>
    <comment ref="D4" authorId="0" shapeId="0">
      <text>
        <r>
          <rPr>
            <b/>
            <sz val="9"/>
            <rFont val="宋体"/>
            <family val="3"/>
            <charset val="134"/>
          </rPr>
          <t>Administrator:</t>
        </r>
        <r>
          <rPr>
            <sz val="9"/>
            <rFont val="宋体"/>
            <family val="3"/>
            <charset val="134"/>
          </rPr>
          <t xml:space="preserve">
完成至27层</t>
        </r>
      </text>
    </comment>
    <comment ref="D9" authorId="0" shapeId="0">
      <text>
        <r>
          <rPr>
            <b/>
            <sz val="9"/>
            <rFont val="宋体"/>
            <family val="3"/>
            <charset val="134"/>
          </rPr>
          <t>Administrator:</t>
        </r>
        <r>
          <rPr>
            <sz val="9"/>
            <rFont val="宋体"/>
            <family val="3"/>
            <charset val="134"/>
          </rPr>
          <t xml:space="preserve">
完成至18层</t>
        </r>
      </text>
    </comment>
    <comment ref="D20" authorId="0" shapeId="0">
      <text>
        <r>
          <rPr>
            <b/>
            <sz val="9"/>
            <rFont val="宋体"/>
            <family val="3"/>
            <charset val="134"/>
          </rPr>
          <t>Administrator:</t>
        </r>
        <r>
          <rPr>
            <sz val="9"/>
            <rFont val="宋体"/>
            <family val="3"/>
            <charset val="134"/>
          </rPr>
          <t xml:space="preserve">
完成至13层</t>
        </r>
      </text>
    </comment>
  </commentList>
</comments>
</file>

<file path=xl/sharedStrings.xml><?xml version="1.0" encoding="utf-8"?>
<sst xmlns="http://schemas.openxmlformats.org/spreadsheetml/2006/main" count="341" uniqueCount="199">
  <si>
    <t>玖华台邸项目全过程造价咨询业务补充协议一</t>
  </si>
  <si>
    <t>咨询单位:</t>
  </si>
  <si>
    <t>(单位盖章)</t>
  </si>
  <si>
    <t>法定代表人:</t>
  </si>
  <si>
    <t>(签字或盖章)</t>
  </si>
  <si>
    <t>编  制  人:</t>
  </si>
  <si>
    <t>编 制 时 间:</t>
  </si>
  <si>
    <t xml:space="preserve">玖华台邸项目全过程造价咨询业务补充协议一
</t>
  </si>
  <si>
    <t xml:space="preserve">
</t>
  </si>
  <si>
    <t>编制、填报说明</t>
  </si>
  <si>
    <t>一、术语解释:</t>
  </si>
  <si>
    <t>1、</t>
  </si>
  <si>
    <t>本清单中“以下” 含本身，“以上”不含本身</t>
  </si>
  <si>
    <t xml:space="preserve">二、清单项适用范围说明：                                                </t>
  </si>
  <si>
    <t xml:space="preserve">三、计算规则：                                                </t>
  </si>
  <si>
    <t>采用工程量清单计价方式，各子目计算规则详清单。</t>
  </si>
  <si>
    <t>四、特别说明、填报说明</t>
  </si>
  <si>
    <t>小高层、高层、超高层、办公楼、独立商业、除别墅外下方裙房商业（均不分层高、层数）相同楼栋及别墅（不分产品类型）、花园洋房、叠拼、学校、幼儿园、别墅下裙房商业、会所、门房、岗亭相同楼栋主要是针对具有多栋相同楼栋的建筑物时，其中一栋楼按基本费单价（第1项或第3项）计算咨询费，其它楼栋按相同楼栋单价（第2项或第4项）计算咨询费，面积仍按该楼栋的施工图预算的建筑面积（同总包单位计算措施费的建筑面积一致）计算。相同楼栋判断标准：按建筑图纸是否相同进行判断（按楼栋编号命名是否在同一张图纸上，如有局部差异仍按相同楼栋执行），如高层1#楼与高层2#楼3~26层建筑图相同，则1#楼3~26层咨询费按以上清单第1项进行计算，2#楼3~26层按以上清单第2项相同楼栋单价计算咨询费。洋房、别墅相同楼栋均参照此例计算咨询费。</t>
  </si>
  <si>
    <t>2、</t>
  </si>
  <si>
    <t>车库归属按为谁服务进行判断，车库为别墅服务再按别墅区车库、为高层服务则按高层区车库计算咨询费用。</t>
  </si>
  <si>
    <t xml:space="preserve">
</t>
  </si>
  <si>
    <t>3、</t>
  </si>
  <si>
    <t>咨询单位提供的发票为“增值税专用发票”，且需符合咨询合同（指建设单位与咨询单位针对其具体实施项目所签订的咨询合同）中的相关要求。</t>
  </si>
  <si>
    <t>4、</t>
  </si>
  <si>
    <t>施工图预算中“二次设计内容（或分包工程）第8~20项”涉及相同户型、相同楼栋、相同设计等相同内容的只计算相同内容的一个部分的咨询费，但出具的咨询报告应包含所有的“二次设计内容（或分包工程）”的内容。（例如：2#楼公共部位装修共计26层，该26层装修均相同，计算咨询费时，只计算首层的公共部位装修的咨询费，但咨询报告应包括首层至26层的总造价。）</t>
  </si>
  <si>
    <t>5、</t>
  </si>
  <si>
    <t>本清单中“增值税发票税额”费率填报税率需与咨询单位最终提供的增值税发票票面显示税率保持一致。</t>
  </si>
  <si>
    <t>6、</t>
  </si>
  <si>
    <t>由于设计变更等甲方的原因造成的返工，无论变更一次或多次均补偿一次，且返工的面积需超过本次委托单项工程面积的60%以上。
4.1 施工图预算中以上清单第1~6项由于甲方的原因造成已计算完成的工程量作废而进行的返工、补偿按相应的业态的固定包干单价×  40%  ×返工的面积（报百分比）。
4.2 施工图预算中以上清单第7项由于甲方的原因造成已计算完成的工程量作废而进行的返工、补偿按相应的返工范围的总造价×  40%   ×合同约定千分比（报百分比）。</t>
  </si>
  <si>
    <t>7、</t>
  </si>
  <si>
    <t>本合作协议中约定的价格为甲方与乙方签订具体项目《玖华台邸项目工程造价咨询合同》或《全过程造价咨询合同》的定价依据，该区采协议的附件报价清单体系应被认为乙方理解并接受该价款的合理性以及风险，该单价在本协议确定的合作期内不因市场变化而进行任何调整。</t>
  </si>
  <si>
    <t>费用汇总表</t>
  </si>
  <si>
    <t>勿删！金额检查列！</t>
  </si>
  <si>
    <t>序号</t>
  </si>
  <si>
    <t>项目名称</t>
  </si>
  <si>
    <t>新项目合价</t>
  </si>
  <si>
    <t>备注</t>
  </si>
  <si>
    <t>老项目合价</t>
  </si>
  <si>
    <t>合价1</t>
  </si>
  <si>
    <t>合价2</t>
  </si>
  <si>
    <t>合价3</t>
  </si>
  <si>
    <t>合价4</t>
  </si>
  <si>
    <t>不含增值税</t>
  </si>
  <si>
    <t>含增值税</t>
  </si>
  <si>
    <t>一</t>
  </si>
  <si>
    <t>总包预结算</t>
  </si>
  <si>
    <t>二</t>
  </si>
  <si>
    <t>延期增加的咨询费</t>
  </si>
  <si>
    <t>合计</t>
  </si>
  <si>
    <t>分部分项工程造价小计：</t>
  </si>
  <si>
    <t xml:space="preserve"> 总包预结算</t>
  </si>
  <si>
    <t>计算规则</t>
  </si>
  <si>
    <t>建筑面积
（㎡）</t>
  </si>
  <si>
    <t>合计金额</t>
  </si>
  <si>
    <t>按总包已完成主体结构建筑面积计算</t>
  </si>
  <si>
    <t>按总建筑面积计算</t>
  </si>
  <si>
    <t>费用单价（元/月）</t>
  </si>
  <si>
    <t>延期时间（月）</t>
  </si>
  <si>
    <t>费用合价（元）</t>
  </si>
  <si>
    <t>施工过程中造价控制月度咨询费</t>
  </si>
  <si>
    <t>三</t>
  </si>
  <si>
    <t>楼栋</t>
  </si>
  <si>
    <t>合同建筑面积</t>
  </si>
  <si>
    <t>已完成建筑面积</t>
  </si>
  <si>
    <t>未完成建筑面积</t>
  </si>
  <si>
    <t>1#裙房商业</t>
  </si>
  <si>
    <t>1#高层住宅</t>
  </si>
  <si>
    <t>2#裙房商业</t>
  </si>
  <si>
    <t>2#返迁办公楼</t>
  </si>
  <si>
    <t>2#自持公寓</t>
  </si>
  <si>
    <t>3#裙房商业</t>
  </si>
  <si>
    <t>3#LOFT</t>
  </si>
  <si>
    <t>4#裙房商业</t>
  </si>
  <si>
    <t>4#高层住宅</t>
  </si>
  <si>
    <t>5#-1裙房商业</t>
  </si>
  <si>
    <t>5#-1高层住宅</t>
  </si>
  <si>
    <t>5#-2裙房商业</t>
  </si>
  <si>
    <t>5#-2返迁住宅</t>
  </si>
  <si>
    <t>6#裙房商业</t>
  </si>
  <si>
    <t>6#高层住宅</t>
  </si>
  <si>
    <t>7#裙房商业</t>
  </si>
  <si>
    <t>8#裙房商业</t>
  </si>
  <si>
    <t>8#高层住宅</t>
  </si>
  <si>
    <t>9#独立商业</t>
  </si>
  <si>
    <t>地下室车库</t>
  </si>
  <si>
    <t>28层主体完成</t>
    <phoneticPr fontId="31" type="noConversion"/>
  </si>
  <si>
    <t>屋面层未完成</t>
    <phoneticPr fontId="31" type="noConversion"/>
  </si>
  <si>
    <t>18层主体完成</t>
    <phoneticPr fontId="31" type="noConversion"/>
  </si>
  <si>
    <t/>
  </si>
  <si>
    <t>13层主体结构完成</t>
    <phoneticPr fontId="31" type="noConversion"/>
  </si>
  <si>
    <t>5#楼南侧车库-1层、-2层未施工</t>
    <phoneticPr fontId="31" type="noConversion"/>
  </si>
  <si>
    <t>本清单价格适用于玖华台邸项目全过程造价咨询服务补充协议。</t>
    <phoneticPr fontId="31" type="noConversion"/>
  </si>
  <si>
    <t>清单计价表</t>
    <phoneticPr fontId="31" type="noConversion"/>
  </si>
  <si>
    <t>分部分项全费用综合单价清单</t>
  </si>
  <si>
    <t>计算内容及计算公式</t>
  </si>
  <si>
    <t>造价咨询费用计算规则</t>
  </si>
  <si>
    <t>单位</t>
  </si>
  <si>
    <t>工程量</t>
  </si>
  <si>
    <t>综合单价1</t>
  </si>
  <si>
    <t>综合单价2</t>
  </si>
  <si>
    <t>综合单价组成</t>
  </si>
  <si>
    <t>价格来源</t>
  </si>
  <si>
    <t>直接工程费</t>
  </si>
  <si>
    <r>
      <rPr>
        <b/>
        <sz val="10"/>
        <rFont val="宋体"/>
        <family val="3"/>
        <charset val="134"/>
        <scheme val="minor"/>
      </rPr>
      <t>企业管理费、利润、规费等</t>
    </r>
    <r>
      <rPr>
        <b/>
        <u/>
        <sz val="10"/>
        <rFont val="宋体"/>
        <family val="3"/>
        <charset val="134"/>
        <scheme val="minor"/>
      </rPr>
      <t xml:space="preserve"> Ⓐ </t>
    </r>
    <r>
      <rPr>
        <b/>
        <sz val="10"/>
        <rFont val="宋体"/>
        <family val="3"/>
        <charset val="134"/>
        <scheme val="minor"/>
      </rPr>
      <t>%</t>
    </r>
  </si>
  <si>
    <r>
      <rPr>
        <b/>
        <sz val="10"/>
        <rFont val="宋体"/>
        <family val="3"/>
        <charset val="134"/>
        <scheme val="minor"/>
      </rPr>
      <t>增值税专用发票税额</t>
    </r>
    <r>
      <rPr>
        <b/>
        <u/>
        <sz val="10"/>
        <rFont val="宋体"/>
        <family val="3"/>
        <charset val="134"/>
        <scheme val="minor"/>
      </rPr>
      <t xml:space="preserve"> Ⓑ </t>
    </r>
    <r>
      <rPr>
        <b/>
        <sz val="10"/>
        <rFont val="宋体"/>
        <family val="3"/>
        <charset val="134"/>
        <scheme val="minor"/>
      </rPr>
      <t>%</t>
    </r>
  </si>
  <si>
    <t>直接工程费用</t>
  </si>
  <si>
    <t>A</t>
  </si>
  <si>
    <t>B1=a+b</t>
  </si>
  <si>
    <t>B2=a+b+c</t>
  </si>
  <si>
    <t>C1=A*B1</t>
  </si>
  <si>
    <t>C2=A*B2</t>
  </si>
  <si>
    <t>a</t>
  </si>
  <si>
    <t>b=a*Ⓐ%</t>
  </si>
  <si>
    <t>c=（a+b）*Ⓑ%</t>
  </si>
  <si>
    <t>施工图预算编制及核对</t>
  </si>
  <si>
    <r>
      <rPr>
        <sz val="10"/>
        <color indexed="8"/>
        <rFont val="宋体"/>
        <family val="3"/>
        <charset val="134"/>
        <scheme val="minor"/>
      </rPr>
      <t>小高层、高层、超高层、办公楼和</t>
    </r>
    <r>
      <rPr>
        <sz val="10"/>
        <color rgb="FFFF0000"/>
        <rFont val="宋体"/>
        <family val="3"/>
        <charset val="134"/>
        <scheme val="minor"/>
      </rPr>
      <t>公寓（层数F＞8）</t>
    </r>
    <r>
      <rPr>
        <sz val="10"/>
        <color indexed="8"/>
        <rFont val="宋体"/>
        <family val="3"/>
        <charset val="134"/>
        <scheme val="minor"/>
      </rPr>
      <t>、除别墅外下方裙房商业（均不分层高、层数）及相应地下室，</t>
    </r>
    <r>
      <rPr>
        <sz val="10"/>
        <rFont val="宋体"/>
        <family val="3"/>
        <charset val="134"/>
        <scheme val="minor"/>
      </rPr>
      <t>高层区车库</t>
    </r>
  </si>
  <si>
    <t>计算内容：基础结算，散水以内（含散水、排水沟）的主体结构工程、砌体工程、装饰工程（不含二次设计）、楼地面工程、保温工程、外墙饰面（以下单独委托内容以外的部分）、屋面工程、防水工程、给水排水工程、强弱电工程、防雷工程等施工图包干预算编制及核对。具体计算方式详见甲方与总包单位的战略协议。</t>
  </si>
  <si>
    <t>按包干固定综合单价*面积计算，面积按该楼栋施工图预算的建筑面积（即按《中华人民共和国国家标准建筑工程建筑面积计算规范》（GB/T50353-2013）以建筑面积计算，架空层部分已按满堂式钢管支架计算其脚手架费用,不再计算建筑面积，扣除钢楼（屋）面、钛锌板楼（屋）面等专业分包所涉及的面积。）计算。</t>
  </si>
  <si>
    <t>m2</t>
  </si>
  <si>
    <r>
      <rPr>
        <sz val="10"/>
        <color indexed="8"/>
        <rFont val="宋体"/>
        <family val="3"/>
        <charset val="134"/>
        <scheme val="minor"/>
      </rPr>
      <t>小高层、高层、超高层、办公楼</t>
    </r>
    <r>
      <rPr>
        <sz val="10"/>
        <color rgb="FFFF0000"/>
        <rFont val="宋体"/>
        <family val="3"/>
        <charset val="134"/>
        <scheme val="minor"/>
      </rPr>
      <t>和公寓（层数F＞8）</t>
    </r>
    <r>
      <rPr>
        <sz val="10"/>
        <color indexed="8"/>
        <rFont val="宋体"/>
        <family val="3"/>
        <charset val="134"/>
        <scheme val="minor"/>
      </rPr>
      <t>、独立商业、除别墅外下方裙房商业（均不分层高、层数）相同楼栋</t>
    </r>
  </si>
  <si>
    <r>
      <rPr>
        <sz val="10"/>
        <color indexed="8"/>
        <rFont val="宋体"/>
        <family val="3"/>
        <charset val="134"/>
        <scheme val="minor"/>
      </rPr>
      <t>别墅（不分产品类型）、叠拼、学校、幼儿园、别墅下裙房商业、会所</t>
    </r>
    <r>
      <rPr>
        <sz val="10"/>
        <color rgb="FFFF0000"/>
        <rFont val="宋体"/>
        <family val="3"/>
        <charset val="134"/>
        <scheme val="minor"/>
      </rPr>
      <t>（公众场馆）</t>
    </r>
    <r>
      <rPr>
        <sz val="10"/>
        <color indexed="8"/>
        <rFont val="宋体"/>
        <family val="3"/>
        <charset val="134"/>
        <scheme val="minor"/>
      </rPr>
      <t>、</t>
    </r>
    <r>
      <rPr>
        <sz val="10"/>
        <color rgb="FFFF0000"/>
        <rFont val="宋体"/>
        <family val="3"/>
        <charset val="134"/>
        <scheme val="minor"/>
      </rPr>
      <t>售楼部（层数F≤8）、</t>
    </r>
    <r>
      <rPr>
        <sz val="10"/>
        <color indexed="8"/>
        <rFont val="宋体"/>
        <family val="3"/>
        <charset val="134"/>
        <scheme val="minor"/>
      </rPr>
      <t>门房、岗亭及相应地下室，别墅区车库</t>
    </r>
  </si>
  <si>
    <r>
      <rPr>
        <sz val="10"/>
        <color indexed="8"/>
        <rFont val="宋体"/>
        <family val="3"/>
        <charset val="134"/>
        <scheme val="minor"/>
      </rPr>
      <t>别墅（不分产品类型）、叠拼、学校、幼儿园、别墅下裙房商业、会所</t>
    </r>
    <r>
      <rPr>
        <sz val="10"/>
        <color rgb="FFFF0000"/>
        <rFont val="宋体"/>
        <family val="3"/>
        <charset val="134"/>
        <scheme val="minor"/>
      </rPr>
      <t>（公众场馆）</t>
    </r>
    <r>
      <rPr>
        <sz val="10"/>
        <color indexed="8"/>
        <rFont val="宋体"/>
        <family val="3"/>
        <charset val="134"/>
        <scheme val="minor"/>
      </rPr>
      <t>、</t>
    </r>
    <r>
      <rPr>
        <sz val="10"/>
        <color rgb="FFFF0000"/>
        <rFont val="宋体"/>
        <family val="3"/>
        <charset val="134"/>
        <scheme val="minor"/>
      </rPr>
      <t>售楼部（层数F≤8）</t>
    </r>
    <r>
      <rPr>
        <sz val="10"/>
        <color indexed="8"/>
        <rFont val="宋体"/>
        <family val="3"/>
        <charset val="134"/>
        <scheme val="minor"/>
      </rPr>
      <t>、门房、岗亭相同楼栋</t>
    </r>
  </si>
  <si>
    <r>
      <rPr>
        <sz val="10"/>
        <color indexed="8"/>
        <rFont val="宋体"/>
        <family val="3"/>
        <charset val="134"/>
        <scheme val="minor"/>
      </rPr>
      <t>花园洋房（5≤层数F≤8）及相应地下室、</t>
    </r>
    <r>
      <rPr>
        <sz val="10"/>
        <color rgb="FFFF0000"/>
        <rFont val="宋体"/>
        <family val="3"/>
        <charset val="134"/>
        <scheme val="minor"/>
      </rPr>
      <t>办公楼和公寓(层数F≤8)</t>
    </r>
    <r>
      <rPr>
        <sz val="10"/>
        <color indexed="8"/>
        <rFont val="宋体"/>
        <family val="3"/>
        <charset val="134"/>
        <scheme val="minor"/>
      </rPr>
      <t>、洋房区车库</t>
    </r>
  </si>
  <si>
    <r>
      <rPr>
        <sz val="10"/>
        <color indexed="8"/>
        <rFont val="宋体"/>
        <family val="3"/>
        <charset val="134"/>
        <scheme val="minor"/>
      </rPr>
      <t>花园洋房（5≤层数F≤8）、</t>
    </r>
    <r>
      <rPr>
        <sz val="10"/>
        <color rgb="FFFF0000"/>
        <rFont val="宋体"/>
        <family val="3"/>
        <charset val="134"/>
        <scheme val="minor"/>
      </rPr>
      <t>办公楼和公寓(层数F≤8)</t>
    </r>
    <r>
      <rPr>
        <sz val="10"/>
        <color indexed="8"/>
        <rFont val="宋体"/>
        <family val="3"/>
        <charset val="134"/>
        <scheme val="minor"/>
      </rPr>
      <t>相同楼栋</t>
    </r>
  </si>
  <si>
    <t>独立商业</t>
  </si>
  <si>
    <t>独立商业相同楼栋</t>
  </si>
  <si>
    <t>土建分包区采</t>
  </si>
  <si>
    <t>1、按施工图纸、事务所工作任务通知书范围要求计算，具体计算方式详见甲方与分包单位的战略协议；
2、包括外檐一体化、门窗、管网、防火门、入户门、屋面系统等等所有除总包以外的区采项目。</t>
  </si>
  <si>
    <t>1、一般情况按甲方与总包（或分包）单位签定合同金额计算；
2、若计算范围内有涉及相同户型、相同楼栋、相同楼层等相同设计内容时，只计算一次咨询费，不重复计算，但出具的咨询报告应包含所有的“二次设计内容（或分包工程）”的内容。</t>
  </si>
  <si>
    <t>元</t>
  </si>
  <si>
    <t>安装分包区采</t>
  </si>
  <si>
    <t>1、按施工图纸、事务所工作任务通知书范围要求计算，具体计算方式详见甲方与总包单位、分包单位的战略协议。
2、包括智能化、下户线工程、消防工程、专配出线、中央空调工程、天沟及落水管等等所有安装除总包以外的区采项目。</t>
  </si>
  <si>
    <t>精装区采</t>
  </si>
  <si>
    <t>1、按施工图纸、事务所工作任务通知书范围要求计算，具体计算方式详见甲方与分包单位的战略协议。
2、包含大堂、会所、样板房、公共部位、电梯前室、成品房装饰装修等精装修区采项目。</t>
  </si>
  <si>
    <t>1、一般情况下按甲方与分包单位签定合同金额计算；
2、若计算范围内有涉及相同户型、相同楼栋、相同楼层等相同设计内容时，只计算一次咨询费，不重复计算，但出具的咨询报告应包含所有的“二次设计内容（或分包工程）”的内容。</t>
  </si>
  <si>
    <t>景观区采</t>
  </si>
  <si>
    <t>1、按施工图纸、事务所工作任务通知书范围要求计算，具体计算方式详见甲方与分包单位的战略协议。
2、包含景观工程、艺术廊架、景观铁艺、雕塑等等景观区采项目。</t>
  </si>
  <si>
    <t>市政工程</t>
  </si>
  <si>
    <t>1、按施工图纸、事务所工作任务通知书范围要求计算，具体计算方式详见甲方与分包单位的战略协议。
2、市政项目。</t>
  </si>
  <si>
    <t>全过程造价服务</t>
  </si>
  <si>
    <r>
      <rPr>
        <sz val="10"/>
        <color indexed="8"/>
        <rFont val="宋体"/>
        <family val="3"/>
        <charset val="134"/>
        <scheme val="minor"/>
      </rPr>
      <t>小高层（9≤层数F≤18）、高层（18＜层数F≤33）、超高层、办公楼</t>
    </r>
    <r>
      <rPr>
        <sz val="10"/>
        <color rgb="FFFF0000"/>
        <rFont val="宋体"/>
        <family val="3"/>
        <charset val="134"/>
        <scheme val="minor"/>
      </rPr>
      <t>和公寓</t>
    </r>
    <r>
      <rPr>
        <sz val="10"/>
        <color indexed="8"/>
        <rFont val="宋体"/>
        <family val="3"/>
        <charset val="134"/>
        <scheme val="minor"/>
      </rPr>
      <t>(层数F＞8)、</t>
    </r>
    <r>
      <rPr>
        <sz val="10"/>
        <color indexed="8"/>
        <rFont val="宋体"/>
        <family val="3"/>
        <charset val="134"/>
        <scheme val="minor"/>
      </rPr>
      <t>除别墅外下方裙房商业及相应地下室，高层区车库</t>
    </r>
  </si>
  <si>
    <t>具体内容详见《全过程造价咨询合同》</t>
  </si>
  <si>
    <r>
      <rPr>
        <sz val="10"/>
        <color indexed="8"/>
        <rFont val="宋体"/>
        <family val="3"/>
        <charset val="134"/>
        <scheme val="minor"/>
      </rPr>
      <t>1、按包干固定综合单价*面积计算，面积按该楼栋的施工图预算的建筑面积（按《中华人民共和国国家标准建筑工程建筑面积计算规范》（GB/T50353-2013）中的建筑面积计算，架空层部分已按满堂式钢管支架计算其脚手架费用,不再计算建筑面积，</t>
    </r>
    <r>
      <rPr>
        <sz val="10"/>
        <color rgb="FFFF0000"/>
        <rFont val="宋体"/>
        <family val="3"/>
        <charset val="134"/>
        <scheme val="minor"/>
      </rPr>
      <t>扣除钢楼（屋）面、钛锌板楼（屋）面等专业分包所涉及的面积</t>
    </r>
    <r>
      <rPr>
        <sz val="10"/>
        <color indexed="8"/>
        <rFont val="宋体"/>
        <family val="3"/>
        <charset val="134"/>
        <scheme val="minor"/>
      </rPr>
      <t xml:space="preserve">）计算。
</t>
    </r>
    <r>
      <rPr>
        <sz val="10"/>
        <color rgb="FFFF0000"/>
        <rFont val="宋体"/>
        <family val="3"/>
        <charset val="134"/>
        <scheme val="minor"/>
      </rPr>
      <t>2、异地样板房随各业态计价。</t>
    </r>
  </si>
  <si>
    <r>
      <rPr>
        <sz val="10"/>
        <color indexed="8"/>
        <rFont val="宋体"/>
        <family val="3"/>
        <charset val="134"/>
        <scheme val="minor"/>
      </rPr>
      <t>别墅、别墅下裙房商业、学校、幼儿园、叠拼、会所</t>
    </r>
    <r>
      <rPr>
        <sz val="10"/>
        <color rgb="FFFF0000"/>
        <rFont val="宋体"/>
        <family val="3"/>
        <charset val="134"/>
        <scheme val="minor"/>
      </rPr>
      <t>（公众场馆）</t>
    </r>
    <r>
      <rPr>
        <sz val="10"/>
        <color indexed="8"/>
        <rFont val="宋体"/>
        <family val="3"/>
        <charset val="134"/>
        <scheme val="minor"/>
      </rPr>
      <t>、门房、岗亭及相应地下室、</t>
    </r>
    <r>
      <rPr>
        <sz val="10"/>
        <color rgb="FFFF0000"/>
        <rFont val="宋体"/>
        <family val="3"/>
        <charset val="134"/>
        <scheme val="minor"/>
      </rPr>
      <t>售楼部（层数F≤8）</t>
    </r>
    <r>
      <rPr>
        <sz val="10"/>
        <color indexed="8"/>
        <rFont val="宋体"/>
        <family val="3"/>
        <charset val="134"/>
        <scheme val="minor"/>
      </rPr>
      <t>，别墅区车库</t>
    </r>
  </si>
  <si>
    <t>融创桃源系列项目（新增）</t>
  </si>
  <si>
    <r>
      <rPr>
        <sz val="10"/>
        <color indexed="8"/>
        <rFont val="宋体"/>
        <family val="3"/>
        <charset val="134"/>
        <scheme val="minor"/>
      </rPr>
      <t>花园洋房（5≤层数F≤8）及相应地下室、</t>
    </r>
    <r>
      <rPr>
        <sz val="10"/>
        <color rgb="FFFF0000"/>
        <rFont val="宋体"/>
        <family val="3"/>
        <charset val="134"/>
        <scheme val="minor"/>
      </rPr>
      <t>办公楼和公寓(层数F≤8)</t>
    </r>
    <r>
      <rPr>
        <sz val="10"/>
        <color indexed="8"/>
        <rFont val="宋体"/>
        <family val="3"/>
        <charset val="134"/>
        <scheme val="minor"/>
      </rPr>
      <t>，洋房区车库</t>
    </r>
  </si>
  <si>
    <t>成品房交付标准楼栋补偿费用（±0.00以上部分）</t>
  </si>
  <si>
    <t>1、如部分楼栋为成品房交付标准，则计算该楼栋成品房交付标准楼栋补偿费用；
2、按包干固定综合单价*面积计算，面积按成品房装修楼地面面积计算。</t>
  </si>
  <si>
    <t>快维工程</t>
  </si>
  <si>
    <t>工作内容：
1、勘察现场、收方；
2、根据收方资料及图纸进行计算；
3、解决争议问题等等。</t>
  </si>
  <si>
    <t>1、以合同额绝对值总和作为计费基数；2、本快维清单适用于该工程竣备交付后产生的快维工作，施工过程中的快维工作内容已包含在全过程造价咨询清单中，不单独计算。</t>
  </si>
  <si>
    <t>综合单价为百分比</t>
  </si>
  <si>
    <t>结算编制及审核</t>
  </si>
  <si>
    <t>总包工程</t>
  </si>
  <si>
    <t>工作内容：
1、对现场进行复查，合同内未施工部分需要向甲方提出；
2、可调价部分按核价及图纸进行结算；
3、材料价差部分视规定进行调差；
4、变更签证部分进行结算；
5、争议部分进行解决。</t>
  </si>
  <si>
    <t>1、变更签证部分:结算额绝对值总和作为计费基数
2、合同暂定工程量部分：按包干预算合同内暂定工程量相应清单项结算金额合计作为计费基数。</t>
  </si>
  <si>
    <t>3、可调材料价差部分：按包干预算合同内暂定综合单价(办理结算时需调差)部分结算后各清单项增减金额绝对值总和作为计费基数</t>
  </si>
  <si>
    <t>精装工程</t>
  </si>
  <si>
    <t>3、可调材料价差部分：按包干预算合同内暂定综合单价(办理结算时需调差)部分结算后各清单项增减金额绝对值总和作为计费基数。</t>
  </si>
  <si>
    <t>景观工程</t>
  </si>
  <si>
    <t>管网挡墙工程</t>
  </si>
  <si>
    <t>1、变更签证部分:结算额绝对值总和作为计费基数；
2、合同暂定工程量部分：按包干预算合同内暂定工程量相应清单项结算金额合计作为计费基数。</t>
  </si>
  <si>
    <t>本工程造价合计：</t>
  </si>
  <si>
    <r>
      <t>备注：
1、小高层、高层、超高层、办公楼、独立商业、除别墅外下方裙房商业（均不分层高、层数）相同楼栋及别墅（不分产品类型）、花园洋房、叠拼、学校、幼儿园、别墅下裙房商业、会所、门房、岗亭相同楼栋主要是针对具有多栋相同楼栋的建筑物时，其中一栋楼按基本费单价（第1项、3项、</t>
    </r>
    <r>
      <rPr>
        <sz val="10"/>
        <color rgb="FFFF0000"/>
        <rFont val="宋体"/>
        <family val="3"/>
        <charset val="134"/>
        <scheme val="minor"/>
      </rPr>
      <t>5项或第7项</t>
    </r>
    <r>
      <rPr>
        <sz val="10"/>
        <rFont val="宋体"/>
        <family val="3"/>
        <charset val="134"/>
        <scheme val="minor"/>
      </rPr>
      <t>）计算咨询费，其它楼栋按相同楼栋单价（第2项、4项、6项</t>
    </r>
    <r>
      <rPr>
        <sz val="10"/>
        <color rgb="FFFF0000"/>
        <rFont val="宋体"/>
        <family val="3"/>
        <charset val="134"/>
        <scheme val="minor"/>
      </rPr>
      <t>或第8项</t>
    </r>
    <r>
      <rPr>
        <sz val="10"/>
        <rFont val="宋体"/>
        <family val="3"/>
        <charset val="134"/>
        <scheme val="minor"/>
      </rPr>
      <t>）计算咨询费。相同楼栋判断标准：按建筑图纸是否相同进行判断（按楼栋编号命名是否在同一张图纸上，如有局部差异仍按相同楼栋执行），如高层1#楼与高层2#楼3~26层建筑图相同，则1#楼3~26层咨询费按以上清单第1项进行计算，2#楼3~26层按以上清单第2项相同楼栋单价计算咨询费。洋房、别墅相同楼栋均参照此例计算咨询费。
2、车库归属按为谁服务进行判断，车库为别墅服务则按别墅区车库、为高层服务则按高层区车库计算咨询费用。
3、施工图预算中“二次设计内容（或分包工程）第</t>
    </r>
    <r>
      <rPr>
        <sz val="10"/>
        <color rgb="FFFF0000"/>
        <rFont val="宋体"/>
        <family val="3"/>
        <charset val="134"/>
        <scheme val="minor"/>
      </rPr>
      <t>9~13</t>
    </r>
    <r>
      <rPr>
        <sz val="10"/>
        <rFont val="宋体"/>
        <family val="3"/>
        <charset val="134"/>
        <scheme val="minor"/>
      </rPr>
      <t xml:space="preserve">项”涉及相同户型、相同楼栋、相同楼层等相同设计内容的只计算相同内容其中一个户型、一个楼栋或一层楼的咨询费，但出具的咨询报告应包含所有的“二次设计内容（或分包工程）”的内容。（例如：2#楼公共部位装修共计26层，该26层装修均相同，计算咨询费时，只计算首层的公共部位装修的咨询费，但咨询报告应包括首层至26层的总造价。）
</t>
    </r>
    <r>
      <rPr>
        <sz val="10"/>
        <color rgb="FFFF0000"/>
        <rFont val="宋体"/>
        <family val="3"/>
        <charset val="134"/>
        <scheme val="minor"/>
      </rPr>
      <t>4、由于设计变更等甲方的原因造成的返工，无论变更一次或多次均补偿一次，且返工的面积需超过本次委托单项工程面积的60%以上。
4.1 施工图预算中以上清单第1~8项由于甲方的原因造成已计算完成的工程量作废而进行的返工、补偿按相应的业态的固定包干单价×  40%  ×返工的面积（报百分比）。
4.2 施工图预算中以上清单第9项~13项由于甲方的原因造成已计算完成的工程量作废而进行的返工、补偿按相应的返工范围的工程造价咨询费×  40%。</t>
    </r>
    <r>
      <rPr>
        <sz val="10"/>
        <rFont val="宋体"/>
        <family val="3"/>
        <charset val="134"/>
        <scheme val="minor"/>
      </rPr>
      <t xml:space="preserve">
5、乙方在接受总包土建工程施工图预算第1~8项任务后，若甲方委托的项目后期含有</t>
    </r>
    <r>
      <rPr>
        <sz val="10"/>
        <color rgb="FFFF0000"/>
        <rFont val="宋体"/>
        <family val="3"/>
        <charset val="134"/>
        <scheme val="minor"/>
      </rPr>
      <t>第9~13项、第20~23项</t>
    </r>
    <r>
      <rPr>
        <sz val="10"/>
        <rFont val="宋体"/>
        <family val="3"/>
        <charset val="134"/>
        <scheme val="minor"/>
      </rPr>
      <t>的内容，乙方将完全按照甲方的要求完成该条款内容，否则，甲方有权停付已完工程的进度款，并解除造价咨询合同，且乙方应按当期合同总造价的20%向甲方支付违约金。如后期增加结算审核任务（仅限于承接总包预算楼栋的同组团或同分期范围内），乙方亦按照甲方的要求完成该条款内容，否则，甲方有权停付其他承接已完工程的进度款，并解除正在合作的造价咨询合同，且乙方应按正在合作的合同总造价的20%向甲方支付违约金，如未有正在合同的项目，则解除战略合同协议。
6、结算编制及审核的咨询费计费基数计算如下：如某总包工程包干预算合同金额为2000万(其中暂定量清单项合计300万元)，办理结算后总造价3500万(含增项变更签证600万、减项变更签证100万，暂定工程量清单项结算后为500万，合同清单项可调材料调差调增1000万、调减200万)，则计算咨询费时，变更签证部分计费基数：600万（增项变更）+100万（减项变更）＝700万；合同内暂定工程量部分计费基数：500万（暂定工程量清单项结算金额）；可调材料价差部分计费基数：1000万（可调材料调差调增）+200万（可调材料调差调减）＝1200万。精装、景观、管网挡墙工程均参照此例计算咨询费。
7、本合作协议中约定的价格为甲方与乙方签订具体项目《**项目**期工程造价咨询合同》或《全过程造价咨询合同》的定价依据，该区采协议的附件报价清单体系应被认为乙方理解并接受该价款的合理性以及风险，该单价在本协议确定的合作期内不因市场变化而进行任何调整。
8、全过程事务所、复审事务所及三审（抽审）事务所均有权对施工图提出优化建议方案，包含但不限于：新工艺、新技术、新设备、新材料，或根据项目所在地的地方特色、气候特点、政府要求等，若经研发、工程及成本一致认为该方案可采纳并实施，则城市公司二级平台可上报一级平台预结算审核部，对该优化建议进行报备，通过后可对提出该方案相关事务所人员进行奖励，具体金额如下：
（1）优化涉及金额20万以上125万（含）以下，奖励优化涉及金额的1%，最高不超过1万元；
（2）优化涉及金额125万以上500万（含）以下，奖励优化涉及金额的0.8%，最高不超过2万元；
（3）优化涉及金额500万以上，奖励优化涉及金额的0.4%，最高不超过5万元。
9、其他要求详见事务所管理制度。</t>
    </r>
    <phoneticPr fontId="31" type="noConversion"/>
  </si>
  <si>
    <t>本清单价格适用于融创中国西南区域公司下的重庆、四川、广西、云南、贵州地区的房地产开发项目。</t>
  </si>
  <si>
    <t>本清单执行期为：2019年8月1日到2020年12月31日。</t>
  </si>
  <si>
    <t>详见表4综合单价清单中的备注部分。</t>
  </si>
  <si>
    <t>全过程事务所中，驻现在人员驻场服务时间超过计划工期2个月以上，则2个月以内视为正常工程合同延期情况，费用不许增加，2个月以上不满3个月的，按照实际驻场天数，以10000元为基数进行折算；若超过2个月，每月增加合同费用10000元。</t>
  </si>
  <si>
    <t>A、预结算复审服务
复审事务所受一级平台预结算审核部（非成熟区域）、二级平台（成熟区域）委托，对非成熟区域城市公司、成熟区域城市公司项目成本提交的预结算造价成果文件进行的审核服务。</t>
  </si>
  <si>
    <t xml:space="preserve">
B、预结算三审(抽审)服务
三审(抽审)事务所受一级平台预结算审核部委托，对城市公司提交的预结算造价成果文件进行的审核服务。</t>
  </si>
  <si>
    <t>本清单已经包含了此工程应包含的所有费用，清单中没有列明的项目表示已经综合考虑到的清单当中。</t>
  </si>
  <si>
    <t>各单位提供的发票为“增值税专用发票”，且需符合工程合同中的相关要求。</t>
  </si>
  <si>
    <t>本清单中“增值税发票税额”费率填报税率需与各单位最终提供的增值税发票票面显示税率保持一致。</t>
  </si>
  <si>
    <t>关于区采清单、模拟清单与后续实际单项目合同的关系：
区采清单：为全费用固定综合单价清单，后续双方签订战略合同、后续实际单项目合同时进行使用，作为战略合同重要的组成部分。
模拟清单：招标方提供的模拟清单内工程量是招标方根据以往实际工程选取的模拟工程量，此模拟工程量作为投标报价确定的共同的基础，仅供招标方做评标参考，是为不能作为最终结算与支付的依据，也不作为招标方与中标方签订合同依据，双方均不需对该工程量负责。
后续实际单项目合同：战略合同签订后，实际工程计量和工程价款的支付应遵循合同条款的约定和技术标准和要求的有关规定。实际工程量由承包人按工程量清单中规定的计算规则依据项目实际图纸等进行计算；综合单价以区采清单为准；实际工程价款按工程量清单中所报的单价和总价及合同中另有规定的发包人或监理人同意的单价和总价计算支付额。</t>
  </si>
  <si>
    <t xml:space="preserve">
</t>
  </si>
  <si>
    <t>关于“本清单执行期”的说明：本清单执行期与本清单对应的区域采购战略协议中约定的“本区采协议合作期限”保持一致，并满足区采合作协议中对于“若在前述区采期限内，甲方调整发展方向或市场发生变化时，甲方有权随时解除本协议，乙方不得因此提出任何异议或向甲方主张任何违约责任”相关约定，即对应的区采协议解除后，本清单执行期自动修正为原约定起始时间至解除区采协议时终止时间。实际单项目在选用本区采清单签订项目施工合同时，其时间需满足上述关于本清单执行期中起止时间的约定。</t>
  </si>
  <si>
    <t xml:space="preserve">
</t>
  </si>
  <si>
    <t>26096.68/10000</t>
    <phoneticPr fontId="31" type="noConversion"/>
  </si>
  <si>
    <t>6+19</t>
    <phoneticPr fontId="31" type="noConversion"/>
  </si>
  <si>
    <t>按总建筑面积均返工*40%</t>
    <phoneticPr fontId="31" type="noConversion"/>
  </si>
  <si>
    <r>
      <t xml:space="preserve">施工图预算
</t>
    </r>
    <r>
      <rPr>
        <sz val="12"/>
        <color rgb="FFFF0000"/>
        <rFont val="宋体"/>
        <family val="3"/>
        <charset val="134"/>
        <scheme val="minor"/>
      </rPr>
      <t>（独商除外）</t>
    </r>
    <phoneticPr fontId="31" type="noConversion"/>
  </si>
  <si>
    <r>
      <t xml:space="preserve">施工图预算
</t>
    </r>
    <r>
      <rPr>
        <sz val="12"/>
        <color rgb="FFFF0000"/>
        <rFont val="宋体"/>
        <family val="3"/>
        <charset val="134"/>
        <scheme val="minor"/>
      </rPr>
      <t>（独商）</t>
    </r>
    <phoneticPr fontId="31" type="noConversion"/>
  </si>
  <si>
    <t>按总建筑面积均返工*100%</t>
    <phoneticPr fontId="31" type="noConversion"/>
  </si>
  <si>
    <t>按总建筑面积均返工*100%</t>
    <phoneticPr fontId="31" type="noConversion"/>
  </si>
  <si>
    <r>
      <t xml:space="preserve">按月计算
</t>
    </r>
    <r>
      <rPr>
        <sz val="12"/>
        <color rgb="FFFF0000"/>
        <rFont val="宋体"/>
        <family val="3"/>
        <charset val="134"/>
        <scheme val="minor"/>
      </rPr>
      <t>（19月延期+6月超期）</t>
    </r>
    <phoneticPr fontId="31" type="noConversion"/>
  </si>
  <si>
    <t>施工过程中造价控制月度咨询费</t>
    <phoneticPr fontId="31" type="noConversion"/>
  </si>
  <si>
    <t>方案1</t>
    <phoneticPr fontId="31" type="noConversion"/>
  </si>
  <si>
    <t>方案2</t>
    <phoneticPr fontId="31" type="noConversion"/>
  </si>
  <si>
    <t>方案3</t>
    <phoneticPr fontId="31" type="noConversion"/>
  </si>
  <si>
    <t>单价（元/㎡）</t>
    <phoneticPr fontId="31" type="noConversion"/>
  </si>
  <si>
    <t>19+6</t>
    <phoneticPr fontId="31" type="noConversion"/>
  </si>
  <si>
    <r>
      <t xml:space="preserve">按月计算
</t>
    </r>
    <r>
      <rPr>
        <sz val="12"/>
        <color rgb="FFFF0000"/>
        <rFont val="宋体"/>
        <family val="3"/>
        <charset val="134"/>
        <scheme val="minor"/>
      </rPr>
      <t>（满算延期）</t>
    </r>
    <phoneticPr fontId="31" type="noConversion"/>
  </si>
  <si>
    <r>
      <t xml:space="preserve">按月计算
</t>
    </r>
    <r>
      <rPr>
        <sz val="12"/>
        <color rgb="FFFF0000"/>
        <rFont val="宋体"/>
        <family val="3"/>
        <charset val="134"/>
        <scheme val="minor"/>
      </rPr>
      <t>（三建撤场延期*合同单价+其余超期*10000）</t>
    </r>
    <phoneticPr fontId="31" type="noConversion"/>
  </si>
  <si>
    <t>XXXX项目咨询费补充费用计价明细</t>
    <phoneticPr fontId="31" type="noConversion"/>
  </si>
  <si>
    <t>原单位撤场结算费用</t>
    <phoneticPr fontId="31" type="noConversion"/>
  </si>
  <si>
    <t>新单位施工图预算费用</t>
    <phoneticPr fontId="31" type="noConversion"/>
  </si>
  <si>
    <t>XXX项目建筑面积统计</t>
    <phoneticPr fontId="31" type="noConversion"/>
  </si>
  <si>
    <t>原总包合同中约定，竣工备案时间是2018年12月30日，新总包签订的合同约定竣工备案时间是2021年4月30日。考虑竣工备案后有3个月的结算期，延期时间从2019年4月起算，延期时间暂按25个月，最终以实际延期时间为准</t>
    <phoneticPr fontId="31" type="noConversion"/>
  </si>
  <si>
    <t>备注：以上表格中6个月延期为因原单位撤场导致，19个月超期为因其他因素导致。</t>
    <phoneticPr fontId="3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</si>
</sst>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 #,##0.00_ ;_ * \-#,##0.00_ ;_ * &quot;-&quot;??_ ;_ @_ "/>
    <numFmt numFmtId="176" formatCode="0.00_);[Red]\(0.00\)"/>
    <numFmt numFmtId="177" formatCode="#,##0.00_ "/>
    <numFmt numFmtId="178" formatCode="[DBNum1][$-804]yyyy&quot;年&quot;m&quot;月&quot;d&quot;日&quot;;@"/>
    <numFmt numFmtId="179" formatCode="0.00_ "/>
    <numFmt numFmtId="180" formatCode="0.0%"/>
    <numFmt numFmtId="182" formatCode="_(* #,##0.00_);_(* \(#,##0.00\);_(* &quot;-&quot;??_);_(@_)"/>
  </numFmts>
  <fonts count="43" x14ac:knownFonts="1">
    <font>
      <sz val="11"/>
      <color theme="1"/>
      <name val="宋体"/>
      <charset val="134"/>
      <scheme val="minor"/>
    </font>
    <font>
      <b/>
      <sz val="16"/>
      <color theme="1"/>
      <name val="宋体"/>
      <family val="3"/>
      <charset val="134"/>
      <scheme val="minor"/>
    </font>
    <font>
      <b/>
      <sz val="11"/>
      <color theme="1"/>
      <name val="宋体"/>
      <family val="3"/>
      <charset val="134"/>
      <scheme val="minor"/>
    </font>
    <font>
      <sz val="10"/>
      <color rgb="FF000000"/>
      <name val="宋体"/>
      <family val="3"/>
      <charset val="134"/>
      <scheme val="minor"/>
    </font>
    <font>
      <b/>
      <sz val="12"/>
      <color theme="1"/>
      <name val="宋体"/>
      <family val="3"/>
      <charset val="134"/>
      <scheme val="minor"/>
    </font>
    <font>
      <sz val="12"/>
      <color theme="1"/>
      <name val="宋体"/>
      <family val="3"/>
      <charset val="134"/>
      <scheme val="minor"/>
    </font>
    <font>
      <sz val="12"/>
      <color rgb="FF000000"/>
      <name val="宋体"/>
      <family val="3"/>
      <charset val="134"/>
      <scheme val="minor"/>
    </font>
    <font>
      <sz val="16"/>
      <color theme="1"/>
      <name val="宋体"/>
      <family val="3"/>
      <charset val="134"/>
      <scheme val="minor"/>
    </font>
    <font>
      <sz val="10"/>
      <color theme="1"/>
      <name val="宋体"/>
      <family val="3"/>
      <charset val="134"/>
      <scheme val="minor"/>
    </font>
    <font>
      <sz val="10"/>
      <color rgb="FFFF0000"/>
      <name val="宋体"/>
      <family val="3"/>
      <charset val="134"/>
      <scheme val="minor"/>
    </font>
    <font>
      <b/>
      <sz val="24"/>
      <name val="宋体"/>
      <family val="3"/>
      <charset val="134"/>
      <scheme val="minor"/>
    </font>
    <font>
      <b/>
      <sz val="16"/>
      <name val="宋体"/>
      <family val="3"/>
      <charset val="134"/>
      <scheme val="minor"/>
    </font>
    <font>
      <sz val="16"/>
      <color rgb="FFFF0000"/>
      <name val="宋体"/>
      <family val="3"/>
      <charset val="134"/>
      <scheme val="minor"/>
    </font>
    <font>
      <b/>
      <sz val="10"/>
      <name val="宋体"/>
      <family val="3"/>
      <charset val="134"/>
      <scheme val="minor"/>
    </font>
    <font>
      <b/>
      <sz val="10"/>
      <color rgb="FFFF0000"/>
      <name val="宋体"/>
      <family val="3"/>
      <charset val="134"/>
      <scheme val="minor"/>
    </font>
    <font>
      <b/>
      <sz val="10"/>
      <color indexed="8"/>
      <name val="宋体"/>
      <family val="3"/>
      <charset val="134"/>
      <scheme val="minor"/>
    </font>
    <font>
      <sz val="10"/>
      <color indexed="8"/>
      <name val="宋体"/>
      <family val="3"/>
      <charset val="134"/>
      <scheme val="minor"/>
    </font>
    <font>
      <b/>
      <sz val="10"/>
      <color theme="1"/>
      <name val="宋体"/>
      <family val="3"/>
      <charset val="134"/>
      <scheme val="minor"/>
    </font>
    <font>
      <b/>
      <sz val="16"/>
      <color indexed="8"/>
      <name val="宋体"/>
      <family val="3"/>
      <charset val="134"/>
      <scheme val="minor"/>
    </font>
    <font>
      <b/>
      <sz val="16"/>
      <color rgb="FFFF0000"/>
      <name val="宋体"/>
      <family val="3"/>
      <charset val="134"/>
      <scheme val="minor"/>
    </font>
    <font>
      <b/>
      <sz val="12"/>
      <color rgb="FFFF0000"/>
      <name val="宋体"/>
      <family val="3"/>
      <charset val="134"/>
    </font>
    <font>
      <sz val="12"/>
      <name val="宋体"/>
      <family val="3"/>
      <charset val="134"/>
      <scheme val="minor"/>
    </font>
    <font>
      <b/>
      <sz val="25"/>
      <name val="宋体"/>
      <family val="3"/>
      <charset val="134"/>
      <scheme val="minor"/>
    </font>
    <font>
      <sz val="25"/>
      <name val="宋体"/>
      <family val="3"/>
      <charset val="134"/>
      <scheme val="minor"/>
    </font>
    <font>
      <sz val="14"/>
      <name val="宋体"/>
      <family val="3"/>
      <charset val="134"/>
      <scheme val="minor"/>
    </font>
    <font>
      <b/>
      <sz val="14"/>
      <name val="宋体"/>
      <family val="3"/>
      <charset val="134"/>
      <scheme val="minor"/>
    </font>
    <font>
      <sz val="12"/>
      <name val="宋体"/>
      <family val="3"/>
      <charset val="134"/>
    </font>
    <font>
      <b/>
      <sz val="11"/>
      <color indexed="8"/>
      <name val="宋体"/>
      <family val="3"/>
      <charset val="134"/>
    </font>
    <font>
      <sz val="9"/>
      <color indexed="8"/>
      <name val="宋体"/>
      <family val="3"/>
      <charset val="134"/>
    </font>
    <font>
      <sz val="9"/>
      <name val="宋体"/>
      <family val="3"/>
      <charset val="134"/>
    </font>
    <font>
      <b/>
      <sz val="9"/>
      <name val="宋体"/>
      <family val="3"/>
      <charset val="134"/>
    </font>
    <font>
      <sz val="9"/>
      <name val="宋体"/>
      <family val="3"/>
      <charset val="134"/>
      <scheme val="minor"/>
    </font>
    <font>
      <sz val="11"/>
      <color theme="1"/>
      <name val="宋体"/>
      <family val="3"/>
      <charset val="134"/>
      <scheme val="minor"/>
    </font>
    <font>
      <sz val="10"/>
      <color theme="1"/>
      <name val="宋体"/>
      <family val="3"/>
      <charset val="134"/>
      <scheme val="minor"/>
    </font>
    <font>
      <b/>
      <sz val="25"/>
      <name val="宋体"/>
      <family val="3"/>
      <charset val="134"/>
      <scheme val="minor"/>
    </font>
    <font>
      <sz val="11"/>
      <color theme="1"/>
      <name val="宋体"/>
      <family val="3"/>
      <charset val="134"/>
      <scheme val="minor"/>
    </font>
    <font>
      <sz val="11"/>
      <color rgb="FFFF0000"/>
      <name val="宋体"/>
      <family val="3"/>
      <charset val="134"/>
      <scheme val="minor"/>
    </font>
    <font>
      <b/>
      <u/>
      <sz val="10"/>
      <name val="宋体"/>
      <family val="3"/>
      <charset val="134"/>
      <scheme val="minor"/>
    </font>
    <font>
      <sz val="10"/>
      <name val="宋体"/>
      <family val="3"/>
      <charset val="134"/>
      <scheme val="minor"/>
    </font>
    <font>
      <sz val="10"/>
      <color theme="1"/>
      <name val="宋体"/>
      <family val="3"/>
      <charset val="134"/>
    </font>
    <font>
      <sz val="12"/>
      <color rgb="FFFF0000"/>
      <name val="宋体"/>
      <family val="3"/>
      <charset val="134"/>
      <scheme val="minor"/>
    </font>
    <font>
      <sz val="9"/>
      <color indexed="81"/>
      <name val="宋体"/>
      <family val="3"/>
      <charset val="134"/>
    </font>
    <font>
      <b/>
      <sz val="9"/>
      <color indexed="81"/>
      <name val="宋体"/>
      <family val="3"/>
      <charset val="134"/>
    </font>
  </fonts>
  <fills count="11">
    <fill>
      <patternFill patternType="none"/>
    </fill>
    <fill>
      <patternFill patternType="gray125"/>
    </fill>
    <fill>
      <patternFill patternType="solid">
        <fgColor rgb="FFFFFFFF"/>
        <bgColor indexed="64"/>
      </patternFill>
    </fill>
    <fill>
      <patternFill patternType="solid">
        <fgColor theme="9" tint="0.79995117038483843"/>
        <bgColor indexed="64"/>
      </patternFill>
    </fill>
    <fill>
      <patternFill patternType="solid">
        <fgColor theme="0"/>
        <bgColor indexed="64"/>
      </patternFill>
    </fill>
    <fill>
      <patternFill patternType="solid">
        <fgColor theme="8" tint="0.59999389629810485"/>
        <bgColor indexed="64"/>
      </patternFill>
    </fill>
    <fill>
      <patternFill patternType="solid">
        <fgColor indexed="9"/>
        <bgColor indexed="64"/>
      </patternFill>
    </fill>
    <fill>
      <patternFill patternType="solid">
        <fgColor rgb="FFFFFF00"/>
        <bgColor indexed="64"/>
      </patternFill>
    </fill>
    <fill>
      <patternFill patternType="solid">
        <fgColor rgb="FF92D050"/>
        <bgColor indexed="64"/>
      </patternFill>
    </fill>
    <fill>
      <patternFill patternType="solid">
        <fgColor theme="3" tint="0.39991454817346722"/>
        <bgColor indexed="64"/>
      </patternFill>
    </fill>
    <fill>
      <patternFill patternType="solid">
        <fgColor theme="6" tint="0.59999389629810485"/>
        <bgColor indexed="64"/>
      </patternFill>
    </fill>
  </fills>
  <borders count="3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hair">
        <color auto="1"/>
      </bottom>
      <diagonal/>
    </border>
    <border>
      <left style="thin">
        <color auto="1"/>
      </left>
      <right style="thin">
        <color auto="1"/>
      </right>
      <top style="thin">
        <color auto="1"/>
      </top>
      <bottom style="hair">
        <color auto="1"/>
      </bottom>
      <diagonal/>
    </border>
    <border>
      <left style="thin">
        <color auto="1"/>
      </left>
      <right/>
      <top style="hair">
        <color auto="1"/>
      </top>
      <bottom style="hair">
        <color auto="1"/>
      </bottom>
      <diagonal/>
    </border>
    <border>
      <left style="thin">
        <color auto="1"/>
      </left>
      <right style="thin">
        <color auto="1"/>
      </right>
      <top style="hair">
        <color auto="1"/>
      </top>
      <bottom style="hair">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right style="thin">
        <color auto="1"/>
      </right>
      <top style="thin">
        <color auto="1"/>
      </top>
      <bottom style="thin">
        <color auto="1"/>
      </bottom>
      <diagonal/>
    </border>
  </borders>
  <cellStyleXfs count="12">
    <xf numFmtId="178" fontId="0" fillId="0" borderId="0">
      <alignment vertical="center"/>
    </xf>
    <xf numFmtId="178" fontId="26" fillId="0" borderId="0"/>
    <xf numFmtId="178" fontId="26" fillId="0" borderId="0">
      <alignment vertical="center"/>
    </xf>
    <xf numFmtId="178" fontId="26" fillId="0" borderId="0">
      <alignment vertical="center"/>
    </xf>
    <xf numFmtId="178" fontId="28" fillId="0" borderId="0">
      <alignment vertical="center"/>
    </xf>
    <xf numFmtId="178" fontId="27" fillId="0" borderId="0" applyNumberFormat="0" applyFill="0" applyBorder="0" applyAlignment="0" applyProtection="0">
      <alignment vertical="center"/>
    </xf>
    <xf numFmtId="43" fontId="35" fillId="0" borderId="0" applyFont="0" applyFill="0" applyBorder="0" applyAlignment="0" applyProtection="0">
      <alignment vertical="center"/>
    </xf>
    <xf numFmtId="178" fontId="32" fillId="0" borderId="0">
      <alignment vertical="center"/>
    </xf>
    <xf numFmtId="9" fontId="32" fillId="0" borderId="0" applyFont="0" applyFill="0" applyBorder="0" applyAlignment="0" applyProtection="0">
      <alignment vertical="center"/>
    </xf>
    <xf numFmtId="178" fontId="28" fillId="0" borderId="0">
      <alignment vertical="center"/>
    </xf>
    <xf numFmtId="43" fontId="32" fillId="0" borderId="0" applyFont="0" applyFill="0" applyBorder="0" applyAlignment="0" applyProtection="0">
      <alignment vertical="center"/>
    </xf>
    <xf numFmtId="182" fontId="32" fillId="0" borderId="0" applyFont="0" applyFill="0" applyBorder="0" applyAlignment="0" applyProtection="0">
      <alignment vertical="center"/>
    </xf>
  </cellStyleXfs>
  <cellXfs count="292">
    <xf numFmtId="178" fontId="0" fillId="0" borderId="0" xfId="0">
      <alignment vertical="center"/>
    </xf>
    <xf numFmtId="178" fontId="2" fillId="0" borderId="2" xfId="0" applyFont="1" applyBorder="1" applyAlignment="1">
      <alignment horizontal="center" vertical="center"/>
    </xf>
    <xf numFmtId="178" fontId="3" fillId="2" borderId="2" xfId="0" applyFont="1" applyFill="1" applyBorder="1" applyAlignment="1">
      <alignment horizontal="center" vertical="center" wrapText="1"/>
    </xf>
    <xf numFmtId="43" fontId="3" fillId="2" borderId="2" xfId="0" applyNumberFormat="1" applyFont="1" applyFill="1" applyBorder="1" applyAlignment="1">
      <alignment horizontal="center" vertical="center" wrapText="1"/>
    </xf>
    <xf numFmtId="178" fontId="0" fillId="0" borderId="2" xfId="0" applyBorder="1">
      <alignment vertical="center"/>
    </xf>
    <xf numFmtId="178" fontId="4" fillId="0" borderId="5" xfId="0" applyFont="1" applyBorder="1" applyAlignment="1">
      <alignment horizontal="center" vertical="center"/>
    </xf>
    <xf numFmtId="178" fontId="5" fillId="0" borderId="2" xfId="0" applyFont="1" applyBorder="1" applyAlignment="1">
      <alignment horizontal="center" vertical="center" wrapText="1"/>
    </xf>
    <xf numFmtId="178" fontId="5" fillId="0" borderId="7" xfId="0" applyFont="1" applyBorder="1" applyAlignment="1">
      <alignment horizontal="center" vertical="center"/>
    </xf>
    <xf numFmtId="43" fontId="4" fillId="0" borderId="2" xfId="0" applyNumberFormat="1" applyFont="1" applyBorder="1" applyAlignment="1">
      <alignment horizontal="center" vertical="center" wrapText="1"/>
    </xf>
    <xf numFmtId="2" fontId="5" fillId="0" borderId="2" xfId="0" applyNumberFormat="1" applyFont="1" applyBorder="1" applyAlignment="1">
      <alignment horizontal="center" vertical="center"/>
    </xf>
    <xf numFmtId="178" fontId="7" fillId="0" borderId="0" xfId="0" applyFont="1" applyFill="1" applyProtection="1">
      <alignment vertical="center"/>
    </xf>
    <xf numFmtId="178" fontId="8" fillId="0" borderId="0" xfId="0" applyFont="1" applyFill="1" applyAlignment="1" applyProtection="1">
      <alignment horizontal="center" vertical="center"/>
    </xf>
    <xf numFmtId="178" fontId="8" fillId="0" borderId="0" xfId="0" applyFont="1" applyFill="1" applyProtection="1">
      <alignment vertical="center"/>
    </xf>
    <xf numFmtId="177" fontId="8" fillId="3" borderId="0" xfId="0" applyNumberFormat="1" applyFont="1" applyFill="1" applyProtection="1">
      <alignment vertical="center"/>
    </xf>
    <xf numFmtId="177" fontId="8" fillId="0" borderId="0" xfId="0" applyNumberFormat="1" applyFont="1" applyFill="1" applyProtection="1">
      <alignment vertical="center"/>
    </xf>
    <xf numFmtId="177" fontId="8" fillId="0" borderId="0" xfId="0" applyNumberFormat="1" applyFont="1" applyFill="1" applyAlignment="1" applyProtection="1">
      <alignment horizontal="left" vertical="center"/>
    </xf>
    <xf numFmtId="178" fontId="9" fillId="0" borderId="0" xfId="0" applyNumberFormat="1" applyFont="1" applyFill="1" applyAlignment="1" applyProtection="1">
      <alignment horizontal="center" vertical="center"/>
    </xf>
    <xf numFmtId="178" fontId="11" fillId="0" borderId="0" xfId="0" applyFont="1" applyFill="1" applyBorder="1" applyAlignment="1" applyProtection="1">
      <alignment horizontal="left" vertical="center" wrapText="1"/>
    </xf>
    <xf numFmtId="178" fontId="12" fillId="0" borderId="0" xfId="0" applyNumberFormat="1" applyFont="1" applyFill="1" applyAlignment="1" applyProtection="1">
      <alignment horizontal="center" vertical="center"/>
    </xf>
    <xf numFmtId="178" fontId="13" fillId="0" borderId="0" xfId="0" applyFont="1" applyFill="1" applyBorder="1" applyAlignment="1" applyProtection="1">
      <alignment horizontal="center" vertical="center" wrapText="1"/>
    </xf>
    <xf numFmtId="178" fontId="13" fillId="4" borderId="0" xfId="0" applyFont="1" applyFill="1" applyBorder="1" applyAlignment="1" applyProtection="1">
      <alignment horizontal="center" vertical="center" wrapText="1"/>
    </xf>
    <xf numFmtId="178" fontId="13" fillId="0" borderId="0" xfId="0" applyFont="1" applyFill="1" applyBorder="1" applyAlignment="1" applyProtection="1">
      <alignment horizontal="left" vertical="center" wrapText="1"/>
    </xf>
    <xf numFmtId="177" fontId="13" fillId="0" borderId="0" xfId="0" applyNumberFormat="1" applyFont="1" applyFill="1" applyBorder="1" applyAlignment="1" applyProtection="1">
      <alignment horizontal="center" vertical="center" wrapText="1"/>
    </xf>
    <xf numFmtId="178" fontId="14" fillId="5" borderId="2" xfId="0" applyNumberFormat="1" applyFont="1" applyFill="1" applyBorder="1" applyAlignment="1" applyProtection="1">
      <alignment horizontal="center" vertical="center" wrapText="1"/>
    </xf>
    <xf numFmtId="177" fontId="13" fillId="4" borderId="2" xfId="0" applyNumberFormat="1" applyFont="1" applyFill="1" applyBorder="1" applyAlignment="1" applyProtection="1">
      <alignment horizontal="center" vertical="center" wrapText="1"/>
    </xf>
    <xf numFmtId="177" fontId="13" fillId="0" borderId="0" xfId="4" applyNumberFormat="1" applyFont="1" applyFill="1" applyBorder="1" applyAlignment="1" applyProtection="1">
      <alignment horizontal="center" vertical="center" wrapText="1"/>
    </xf>
    <xf numFmtId="178" fontId="13" fillId="0" borderId="14" xfId="0" applyFont="1" applyFill="1" applyBorder="1" applyAlignment="1" applyProtection="1">
      <alignment horizontal="center" vertical="center" wrapText="1"/>
    </xf>
    <xf numFmtId="178" fontId="13" fillId="0" borderId="15" xfId="0" applyFont="1" applyFill="1" applyBorder="1" applyAlignment="1" applyProtection="1">
      <alignment horizontal="center" vertical="center" wrapText="1"/>
    </xf>
    <xf numFmtId="177" fontId="13" fillId="4" borderId="15" xfId="0" applyNumberFormat="1" applyFont="1" applyFill="1" applyBorder="1" applyAlignment="1" applyProtection="1">
      <alignment horizontal="right" vertical="center" wrapText="1"/>
    </xf>
    <xf numFmtId="177" fontId="15" fillId="0" borderId="15" xfId="4" applyNumberFormat="1" applyFont="1" applyFill="1" applyBorder="1" applyAlignment="1" applyProtection="1">
      <alignment horizontal="right" vertical="center" wrapText="1"/>
    </xf>
    <xf numFmtId="177" fontId="15" fillId="0" borderId="0" xfId="4" applyNumberFormat="1" applyFont="1" applyFill="1" applyBorder="1" applyAlignment="1" applyProtection="1">
      <alignment horizontal="left" vertical="center" wrapText="1"/>
    </xf>
    <xf numFmtId="178" fontId="14" fillId="0" borderId="2" xfId="4" applyNumberFormat="1" applyFont="1" applyFill="1" applyBorder="1" applyAlignment="1" applyProtection="1">
      <alignment horizontal="center" vertical="center" wrapText="1"/>
    </xf>
    <xf numFmtId="178" fontId="13" fillId="0" borderId="16" xfId="0" applyFont="1" applyFill="1" applyBorder="1" applyAlignment="1" applyProtection="1">
      <alignment horizontal="center" vertical="center" wrapText="1"/>
    </xf>
    <xf numFmtId="178" fontId="13" fillId="0" borderId="17" xfId="0" applyFont="1" applyFill="1" applyBorder="1" applyAlignment="1" applyProtection="1">
      <alignment horizontal="left" vertical="center" wrapText="1"/>
    </xf>
    <xf numFmtId="177" fontId="13" fillId="4" borderId="17" xfId="0" applyNumberFormat="1" applyFont="1" applyFill="1" applyBorder="1" applyAlignment="1" applyProtection="1">
      <alignment horizontal="right" vertical="center" wrapText="1"/>
    </xf>
    <xf numFmtId="177" fontId="15" fillId="0" borderId="17" xfId="4" applyNumberFormat="1" applyFont="1" applyFill="1" applyBorder="1" applyAlignment="1" applyProtection="1">
      <alignment horizontal="right" vertical="center" wrapText="1"/>
    </xf>
    <xf numFmtId="178" fontId="16" fillId="0" borderId="16" xfId="0" applyFont="1" applyFill="1" applyBorder="1" applyAlignment="1" applyProtection="1">
      <alignment horizontal="center" vertical="center" wrapText="1"/>
    </xf>
    <xf numFmtId="178" fontId="16" fillId="0" borderId="17" xfId="0" applyFont="1" applyFill="1" applyBorder="1" applyAlignment="1" applyProtection="1">
      <alignment horizontal="left" vertical="center" wrapText="1"/>
    </xf>
    <xf numFmtId="177" fontId="16" fillId="4" borderId="17" xfId="5" applyNumberFormat="1" applyFont="1" applyFill="1" applyBorder="1" applyAlignment="1" applyProtection="1">
      <alignment horizontal="right" vertical="center"/>
    </xf>
    <xf numFmtId="177" fontId="16" fillId="0" borderId="17" xfId="0" applyNumberFormat="1" applyFont="1" applyFill="1" applyBorder="1" applyAlignment="1" applyProtection="1">
      <alignment horizontal="right" vertical="center"/>
    </xf>
    <xf numFmtId="177" fontId="16" fillId="0" borderId="0" xfId="0" applyNumberFormat="1" applyFont="1" applyFill="1" applyBorder="1" applyAlignment="1" applyProtection="1">
      <alignment horizontal="left" vertical="center"/>
    </xf>
    <xf numFmtId="178" fontId="15" fillId="0" borderId="2" xfId="0" applyFont="1" applyFill="1" applyBorder="1" applyAlignment="1" applyProtection="1">
      <alignment vertical="center" wrapText="1"/>
    </xf>
    <xf numFmtId="177" fontId="15" fillId="4" borderId="2" xfId="0" applyNumberFormat="1" applyFont="1" applyFill="1" applyBorder="1" applyAlignment="1" applyProtection="1">
      <alignment vertical="center" wrapText="1"/>
    </xf>
    <xf numFmtId="177" fontId="15" fillId="0" borderId="2" xfId="0" applyNumberFormat="1" applyFont="1" applyFill="1" applyBorder="1" applyAlignment="1" applyProtection="1">
      <alignment horizontal="left" vertical="center" wrapText="1"/>
    </xf>
    <xf numFmtId="177" fontId="15" fillId="0" borderId="0" xfId="0" applyNumberFormat="1" applyFont="1" applyFill="1" applyBorder="1" applyAlignment="1" applyProtection="1">
      <alignment horizontal="left" vertical="center" wrapText="1"/>
    </xf>
    <xf numFmtId="178" fontId="1" fillId="0" borderId="0" xfId="0" applyFont="1" applyBorder="1" applyAlignment="1">
      <alignment vertical="center"/>
    </xf>
    <xf numFmtId="178" fontId="17" fillId="0" borderId="0" xfId="0" applyFont="1" applyBorder="1" applyAlignment="1">
      <alignment vertical="center"/>
    </xf>
    <xf numFmtId="178" fontId="17" fillId="0" borderId="0" xfId="0" applyFont="1" applyAlignment="1">
      <alignment vertical="center"/>
    </xf>
    <xf numFmtId="178" fontId="8" fillId="0" borderId="0" xfId="0" applyFont="1" applyAlignment="1">
      <alignment vertical="center"/>
    </xf>
    <xf numFmtId="178" fontId="15" fillId="0" borderId="0" xfId="0" applyFont="1" applyFill="1" applyBorder="1" applyAlignment="1" applyProtection="1">
      <alignment horizontal="center" vertical="center" wrapText="1"/>
    </xf>
    <xf numFmtId="178" fontId="15" fillId="0" borderId="0" xfId="0" applyFont="1" applyFill="1" applyBorder="1" applyAlignment="1" applyProtection="1">
      <alignment horizontal="center" vertical="center"/>
    </xf>
    <xf numFmtId="178" fontId="8" fillId="0" borderId="16" xfId="0" applyFont="1" applyFill="1" applyBorder="1" applyAlignment="1" applyProtection="1">
      <alignment horizontal="center" vertical="center" wrapText="1"/>
    </xf>
    <xf numFmtId="178" fontId="8" fillId="0" borderId="19" xfId="0" applyFont="1" applyFill="1" applyBorder="1" applyAlignment="1" applyProtection="1">
      <alignment horizontal="left" vertical="center" wrapText="1"/>
    </xf>
    <xf numFmtId="178" fontId="8" fillId="0" borderId="16" xfId="0" applyFont="1" applyFill="1" applyBorder="1" applyAlignment="1" applyProtection="1">
      <alignment vertical="center" wrapText="1"/>
    </xf>
    <xf numFmtId="178" fontId="8" fillId="0" borderId="21" xfId="0" applyFont="1" applyFill="1" applyBorder="1" applyAlignment="1" applyProtection="1">
      <alignment vertical="center" wrapText="1"/>
    </xf>
    <xf numFmtId="178" fontId="1" fillId="0" borderId="0" xfId="0" applyFont="1" applyBorder="1" applyAlignment="1">
      <alignment vertical="center" wrapText="1"/>
    </xf>
    <xf numFmtId="178" fontId="19" fillId="0" borderId="0" xfId="2" applyFont="1" applyBorder="1">
      <alignment vertical="center"/>
    </xf>
    <xf numFmtId="178" fontId="17" fillId="0" borderId="0" xfId="0" applyFont="1" applyBorder="1" applyAlignment="1">
      <alignment vertical="center" wrapText="1"/>
    </xf>
    <xf numFmtId="178" fontId="17" fillId="0" borderId="0" xfId="0" applyFont="1" applyAlignment="1">
      <alignment vertical="center" wrapText="1"/>
    </xf>
    <xf numFmtId="178" fontId="8" fillId="0" borderId="24" xfId="0" applyFont="1" applyFill="1" applyBorder="1" applyAlignment="1" applyProtection="1">
      <alignment horizontal="left" vertical="center" wrapText="1"/>
    </xf>
    <xf numFmtId="178" fontId="8" fillId="0" borderId="0" xfId="0" applyFont="1" applyAlignment="1">
      <alignment vertical="center" wrapText="1"/>
    </xf>
    <xf numFmtId="178" fontId="20" fillId="0" borderId="0" xfId="1" applyFont="1" applyFill="1"/>
    <xf numFmtId="178" fontId="21" fillId="0" borderId="0" xfId="2" applyFont="1" applyBorder="1" applyAlignment="1" applyProtection="1">
      <alignment horizontal="justify" vertical="center"/>
    </xf>
    <xf numFmtId="178" fontId="21" fillId="0" borderId="0" xfId="2" applyFont="1" applyBorder="1" applyAlignment="1" applyProtection="1">
      <alignment vertical="center"/>
    </xf>
    <xf numFmtId="178" fontId="21" fillId="0" borderId="0" xfId="2" applyFont="1" applyBorder="1" applyAlignment="1" applyProtection="1">
      <alignment horizontal="justify"/>
    </xf>
    <xf numFmtId="178" fontId="21" fillId="0" borderId="0" xfId="2" applyFont="1" applyBorder="1" applyProtection="1">
      <alignment vertical="center"/>
    </xf>
    <xf numFmtId="178" fontId="23" fillId="0" borderId="0" xfId="2" applyFont="1" applyBorder="1" applyAlignment="1" applyProtection="1">
      <alignment horizontal="center" vertical="center" wrapText="1"/>
    </xf>
    <xf numFmtId="178" fontId="23" fillId="0" borderId="0" xfId="2" applyFont="1" applyBorder="1" applyProtection="1">
      <alignment vertical="center"/>
    </xf>
    <xf numFmtId="178" fontId="22" fillId="0" borderId="0" xfId="2" applyFont="1" applyBorder="1" applyAlignment="1" applyProtection="1">
      <alignment horizontal="center"/>
    </xf>
    <xf numFmtId="178" fontId="24" fillId="0" borderId="0" xfId="3" applyFont="1" applyAlignment="1" applyProtection="1"/>
    <xf numFmtId="178" fontId="25" fillId="4" borderId="1" xfId="3" applyFont="1" applyFill="1" applyBorder="1" applyAlignment="1" applyProtection="1">
      <alignment horizontal="center" wrapText="1"/>
      <protection locked="0"/>
    </xf>
    <xf numFmtId="178" fontId="24" fillId="4" borderId="1" xfId="3" applyFont="1" applyFill="1" applyBorder="1" applyAlignment="1" applyProtection="1">
      <alignment horizontal="left" wrapText="1"/>
      <protection locked="0"/>
    </xf>
    <xf numFmtId="178" fontId="24" fillId="4" borderId="13" xfId="3" applyNumberFormat="1" applyFont="1" applyFill="1" applyBorder="1" applyAlignment="1" applyProtection="1">
      <alignment horizontal="center"/>
      <protection locked="0"/>
    </xf>
    <xf numFmtId="178" fontId="24" fillId="0" borderId="0" xfId="2" applyFont="1" applyBorder="1" applyAlignment="1" applyProtection="1">
      <alignment horizontal="center"/>
    </xf>
    <xf numFmtId="178" fontId="32" fillId="0" borderId="2" xfId="0" applyFont="1" applyBorder="1">
      <alignment vertical="center"/>
    </xf>
    <xf numFmtId="178" fontId="32" fillId="0" borderId="2" xfId="0" applyFont="1" applyBorder="1" applyAlignment="1">
      <alignment vertical="center" wrapText="1"/>
    </xf>
    <xf numFmtId="43" fontId="0" fillId="0" borderId="0" xfId="6" applyFont="1">
      <alignment vertical="center"/>
    </xf>
    <xf numFmtId="178" fontId="11" fillId="0" borderId="0" xfId="7" applyFont="1" applyBorder="1" applyAlignment="1" applyProtection="1">
      <alignment horizontal="left" vertical="center" wrapText="1"/>
    </xf>
    <xf numFmtId="178" fontId="7" fillId="0" borderId="0" xfId="7" applyFont="1" applyBorder="1" applyProtection="1">
      <alignment vertical="center"/>
    </xf>
    <xf numFmtId="178" fontId="11" fillId="0" borderId="0" xfId="7" applyFont="1" applyBorder="1" applyAlignment="1" applyProtection="1">
      <alignment horizontal="center" vertical="center" wrapText="1"/>
    </xf>
    <xf numFmtId="177" fontId="13" fillId="0" borderId="2" xfId="7" applyNumberFormat="1" applyFont="1" applyBorder="1" applyAlignment="1" applyProtection="1">
      <alignment horizontal="center" vertical="center" wrapText="1"/>
    </xf>
    <xf numFmtId="177" fontId="13" fillId="0" borderId="0" xfId="7" applyNumberFormat="1" applyFont="1" applyBorder="1" applyAlignment="1" applyProtection="1">
      <alignment horizontal="center" vertical="center" wrapText="1"/>
    </xf>
    <xf numFmtId="178" fontId="8" fillId="0" borderId="0" xfId="7" applyFont="1" applyBorder="1" applyAlignment="1" applyProtection="1">
      <alignment horizontal="center" vertical="center"/>
    </xf>
    <xf numFmtId="177" fontId="13" fillId="6" borderId="0" xfId="4" applyNumberFormat="1" applyFont="1" applyFill="1" applyBorder="1" applyAlignment="1" applyProtection="1">
      <alignment horizontal="center" vertical="center" wrapText="1"/>
    </xf>
    <xf numFmtId="10" fontId="13" fillId="7" borderId="2" xfId="8" applyNumberFormat="1" applyFont="1" applyFill="1" applyBorder="1" applyAlignment="1" applyProtection="1">
      <alignment horizontal="center" vertical="center" wrapText="1"/>
    </xf>
    <xf numFmtId="10" fontId="13" fillId="7" borderId="2" xfId="8" applyNumberFormat="1" applyFont="1" applyFill="1" applyBorder="1" applyAlignment="1" applyProtection="1">
      <alignment horizontal="center" vertical="center" wrapText="1"/>
      <protection locked="0"/>
    </xf>
    <xf numFmtId="177" fontId="38" fillId="0" borderId="2" xfId="7" applyNumberFormat="1" applyFont="1" applyBorder="1" applyAlignment="1" applyProtection="1">
      <alignment horizontal="center" vertical="center" wrapText="1"/>
    </xf>
    <xf numFmtId="177" fontId="16" fillId="0" borderId="2" xfId="4" applyNumberFormat="1" applyFont="1" applyFill="1" applyBorder="1" applyAlignment="1" applyProtection="1">
      <alignment horizontal="center" vertical="center" wrapText="1"/>
    </xf>
    <xf numFmtId="177" fontId="38" fillId="0" borderId="0" xfId="4" applyNumberFormat="1" applyFont="1" applyFill="1" applyBorder="1" applyAlignment="1" applyProtection="1">
      <alignment horizontal="center" vertical="center" wrapText="1"/>
    </xf>
    <xf numFmtId="178" fontId="38" fillId="0" borderId="0" xfId="7" applyFont="1" applyBorder="1" applyAlignment="1" applyProtection="1">
      <alignment horizontal="center" vertical="center"/>
    </xf>
    <xf numFmtId="178" fontId="13" fillId="0" borderId="15" xfId="7" applyFont="1" applyBorder="1" applyAlignment="1" applyProtection="1">
      <alignment horizontal="center" vertical="center" wrapText="1"/>
    </xf>
    <xf numFmtId="177" fontId="13" fillId="0" borderId="15" xfId="7" applyNumberFormat="1" applyFont="1" applyBorder="1" applyAlignment="1" applyProtection="1">
      <alignment horizontal="right" vertical="center" wrapText="1"/>
    </xf>
    <xf numFmtId="178" fontId="13" fillId="8" borderId="17" xfId="7" applyFont="1" applyFill="1" applyBorder="1" applyAlignment="1" applyProtection="1">
      <alignment horizontal="center" vertical="center" wrapText="1"/>
    </xf>
    <xf numFmtId="178" fontId="13" fillId="8" borderId="17" xfId="7" applyFont="1" applyFill="1" applyBorder="1" applyAlignment="1" applyProtection="1">
      <alignment horizontal="left" vertical="center" wrapText="1"/>
    </xf>
    <xf numFmtId="177" fontId="13" fillId="8" borderId="17" xfId="7" applyNumberFormat="1" applyFont="1" applyFill="1" applyBorder="1" applyAlignment="1" applyProtection="1">
      <alignment horizontal="right" vertical="center" wrapText="1"/>
    </xf>
    <xf numFmtId="177" fontId="15" fillId="8" borderId="17" xfId="4" applyNumberFormat="1" applyFont="1" applyFill="1" applyBorder="1" applyAlignment="1" applyProtection="1">
      <alignment horizontal="right" vertical="center" wrapText="1"/>
    </xf>
    <xf numFmtId="177" fontId="15" fillId="8" borderId="0" xfId="4" applyNumberFormat="1" applyFont="1" applyFill="1" applyBorder="1" applyAlignment="1" applyProtection="1">
      <alignment horizontal="left" vertical="center" wrapText="1"/>
    </xf>
    <xf numFmtId="178" fontId="8" fillId="8" borderId="0" xfId="7" applyFont="1" applyFill="1" applyBorder="1" applyAlignment="1" applyProtection="1">
      <alignment horizontal="center" vertical="center"/>
    </xf>
    <xf numFmtId="178" fontId="16" fillId="0" borderId="17" xfId="7" applyFont="1" applyFill="1" applyBorder="1" applyAlignment="1" applyProtection="1">
      <alignment horizontal="center" vertical="center" wrapText="1"/>
    </xf>
    <xf numFmtId="178" fontId="16" fillId="0" borderId="17" xfId="7" applyFont="1" applyFill="1" applyBorder="1" applyAlignment="1" applyProtection="1">
      <alignment horizontal="left" vertical="center" wrapText="1"/>
    </xf>
    <xf numFmtId="177" fontId="38" fillId="0" borderId="17" xfId="7" applyNumberFormat="1" applyFont="1" applyFill="1" applyBorder="1" applyAlignment="1" applyProtection="1">
      <alignment horizontal="right" vertical="center" wrapText="1"/>
    </xf>
    <xf numFmtId="177" fontId="16" fillId="0" borderId="17" xfId="9" applyNumberFormat="1" applyFont="1" applyFill="1" applyBorder="1" applyAlignment="1" applyProtection="1">
      <alignment horizontal="right" vertical="center" wrapText="1"/>
    </xf>
    <xf numFmtId="177" fontId="16" fillId="7" borderId="17" xfId="9" applyNumberFormat="1" applyFont="1" applyFill="1" applyBorder="1" applyAlignment="1" applyProtection="1">
      <alignment horizontal="center" vertical="center" wrapText="1"/>
    </xf>
    <xf numFmtId="177" fontId="16" fillId="0" borderId="17" xfId="7" applyNumberFormat="1" applyFont="1" applyFill="1" applyBorder="1" applyAlignment="1" applyProtection="1">
      <alignment horizontal="right" vertical="center"/>
    </xf>
    <xf numFmtId="177" fontId="16" fillId="0" borderId="0" xfId="7" applyNumberFormat="1" applyFont="1" applyFill="1" applyBorder="1" applyAlignment="1" applyProtection="1">
      <alignment horizontal="left" vertical="center" wrapText="1"/>
    </xf>
    <xf numFmtId="178" fontId="8" fillId="0" borderId="0" xfId="7" applyFont="1" applyBorder="1" applyProtection="1">
      <alignment vertical="center"/>
    </xf>
    <xf numFmtId="177" fontId="16" fillId="0" borderId="0" xfId="7" applyNumberFormat="1" applyFont="1" applyFill="1" applyBorder="1" applyAlignment="1" applyProtection="1">
      <alignment horizontal="left" vertical="center"/>
    </xf>
    <xf numFmtId="177" fontId="16" fillId="0" borderId="17" xfId="7" applyNumberFormat="1" applyFont="1" applyFill="1" applyBorder="1" applyAlignment="1" applyProtection="1">
      <alignment horizontal="right" vertical="center" wrapText="1"/>
    </xf>
    <xf numFmtId="177" fontId="16" fillId="0" borderId="29" xfId="7" applyNumberFormat="1" applyFont="1" applyFill="1" applyBorder="1" applyAlignment="1" applyProtection="1">
      <alignment horizontal="right" vertical="center"/>
    </xf>
    <xf numFmtId="178" fontId="38" fillId="0" borderId="17" xfId="7" applyFont="1" applyFill="1" applyBorder="1" applyAlignment="1" applyProtection="1">
      <alignment horizontal="left" vertical="center" wrapText="1"/>
    </xf>
    <xf numFmtId="178" fontId="38" fillId="0" borderId="29" xfId="7" applyFont="1" applyFill="1" applyBorder="1" applyAlignment="1" applyProtection="1">
      <alignment horizontal="left" vertical="center" wrapText="1"/>
    </xf>
    <xf numFmtId="178" fontId="9" fillId="0" borderId="17" xfId="7" applyFont="1" applyFill="1" applyBorder="1" applyAlignment="1" applyProtection="1">
      <alignment horizontal="center" vertical="center" wrapText="1"/>
    </xf>
    <xf numFmtId="10" fontId="38" fillId="0" borderId="17" xfId="8" applyNumberFormat="1" applyFont="1" applyFill="1" applyBorder="1" applyAlignment="1" applyProtection="1">
      <alignment horizontal="right" vertical="center" wrapText="1"/>
    </xf>
    <xf numFmtId="10" fontId="16" fillId="0" borderId="17" xfId="8" applyNumberFormat="1" applyFont="1" applyFill="1" applyBorder="1" applyAlignment="1" applyProtection="1">
      <alignment horizontal="right" vertical="center" wrapText="1"/>
    </xf>
    <xf numFmtId="10" fontId="16" fillId="7" borderId="17" xfId="8" applyNumberFormat="1" applyFont="1" applyFill="1" applyBorder="1" applyAlignment="1" applyProtection="1">
      <alignment horizontal="center" vertical="center" wrapText="1"/>
    </xf>
    <xf numFmtId="10" fontId="16" fillId="0" borderId="29" xfId="8" applyNumberFormat="1" applyFont="1" applyFill="1" applyBorder="1" applyAlignment="1" applyProtection="1">
      <alignment vertical="center" wrapText="1"/>
    </xf>
    <xf numFmtId="178" fontId="16" fillId="0" borderId="17" xfId="7" applyFont="1" applyBorder="1" applyAlignment="1" applyProtection="1">
      <alignment horizontal="center" vertical="center" wrapText="1"/>
    </xf>
    <xf numFmtId="178" fontId="16" fillId="0" borderId="17" xfId="7" applyFont="1" applyBorder="1" applyAlignment="1" applyProtection="1">
      <alignment horizontal="left" vertical="center" wrapText="1"/>
    </xf>
    <xf numFmtId="177" fontId="13" fillId="0" borderId="17" xfId="7" applyNumberFormat="1" applyFont="1" applyBorder="1" applyAlignment="1" applyProtection="1">
      <alignment horizontal="right" vertical="center" wrapText="1"/>
    </xf>
    <xf numFmtId="177" fontId="16" fillId="0" borderId="17" xfId="5" applyNumberFormat="1" applyFont="1" applyFill="1" applyBorder="1" applyAlignment="1" applyProtection="1">
      <alignment horizontal="right" vertical="center"/>
    </xf>
    <xf numFmtId="177" fontId="38" fillId="0" borderId="17" xfId="7" applyNumberFormat="1" applyFont="1" applyBorder="1" applyAlignment="1" applyProtection="1">
      <alignment horizontal="right" vertical="center" wrapText="1"/>
    </xf>
    <xf numFmtId="177" fontId="16" fillId="7" borderId="17" xfId="9" applyNumberFormat="1" applyFont="1" applyFill="1" applyBorder="1" applyAlignment="1" applyProtection="1">
      <alignment horizontal="right" vertical="center" wrapText="1"/>
    </xf>
    <xf numFmtId="178" fontId="16" fillId="0" borderId="17" xfId="4" applyFont="1" applyFill="1" applyBorder="1" applyAlignment="1" applyProtection="1">
      <alignment horizontal="center" vertical="center"/>
    </xf>
    <xf numFmtId="178" fontId="9" fillId="7" borderId="17" xfId="7" applyFont="1" applyFill="1" applyBorder="1" applyAlignment="1" applyProtection="1">
      <alignment horizontal="left" vertical="center" wrapText="1"/>
    </xf>
    <xf numFmtId="178" fontId="38" fillId="0" borderId="17" xfId="7" applyFont="1" applyBorder="1" applyAlignment="1" applyProtection="1">
      <alignment horizontal="left" vertical="center" wrapText="1"/>
    </xf>
    <xf numFmtId="179" fontId="39" fillId="0" borderId="7" xfId="7" applyNumberFormat="1" applyFont="1" applyBorder="1" applyAlignment="1" applyProtection="1">
      <alignment horizontal="center" vertical="center" wrapText="1"/>
    </xf>
    <xf numFmtId="178" fontId="16" fillId="0" borderId="2" xfId="7" applyFont="1" applyBorder="1" applyAlignment="1" applyProtection="1">
      <alignment horizontal="left" vertical="center" wrapText="1"/>
    </xf>
    <xf numFmtId="178" fontId="16" fillId="0" borderId="2" xfId="7" applyFont="1" applyBorder="1" applyAlignment="1" applyProtection="1">
      <alignment vertical="center" wrapText="1"/>
    </xf>
    <xf numFmtId="178" fontId="16" fillId="0" borderId="2" xfId="7" applyFont="1" applyFill="1" applyBorder="1" applyAlignment="1" applyProtection="1">
      <alignment horizontal="left" vertical="center" wrapText="1"/>
    </xf>
    <xf numFmtId="178" fontId="16" fillId="0" borderId="28" xfId="4" applyFont="1" applyFill="1" applyBorder="1" applyAlignment="1" applyProtection="1">
      <alignment horizontal="center" vertical="center"/>
    </xf>
    <xf numFmtId="177" fontId="38" fillId="0" borderId="28" xfId="7" applyNumberFormat="1" applyFont="1" applyBorder="1" applyAlignment="1" applyProtection="1">
      <alignment horizontal="right" vertical="center" wrapText="1"/>
    </xf>
    <xf numFmtId="10" fontId="38" fillId="0" borderId="17" xfId="8" applyNumberFormat="1" applyFont="1" applyBorder="1" applyAlignment="1" applyProtection="1">
      <alignment horizontal="right" vertical="center" wrapText="1"/>
    </xf>
    <xf numFmtId="10" fontId="16" fillId="7" borderId="17" xfId="8" applyNumberFormat="1" applyFont="1" applyFill="1" applyBorder="1" applyAlignment="1" applyProtection="1">
      <alignment horizontal="right" vertical="center" wrapText="1"/>
    </xf>
    <xf numFmtId="177" fontId="16" fillId="0" borderId="28" xfId="9" applyNumberFormat="1" applyFont="1" applyFill="1" applyBorder="1" applyAlignment="1" applyProtection="1">
      <alignment horizontal="right" vertical="center" wrapText="1"/>
    </xf>
    <xf numFmtId="177" fontId="16" fillId="0" borderId="17" xfId="7" applyNumberFormat="1" applyFont="1" applyFill="1" applyBorder="1" applyAlignment="1" applyProtection="1">
      <alignment horizontal="left" vertical="center" wrapText="1"/>
    </xf>
    <xf numFmtId="180" fontId="16" fillId="0" borderId="0" xfId="8" applyNumberFormat="1" applyFont="1" applyFill="1" applyBorder="1" applyAlignment="1" applyProtection="1">
      <alignment horizontal="left" vertical="center"/>
    </xf>
    <xf numFmtId="178" fontId="13" fillId="8" borderId="17" xfId="7" applyFont="1" applyFill="1" applyBorder="1" applyAlignment="1" applyProtection="1">
      <alignment horizontal="left" vertical="center"/>
    </xf>
    <xf numFmtId="10" fontId="16" fillId="0" borderId="0" xfId="8" applyNumberFormat="1" applyFont="1" applyFill="1" applyBorder="1" applyAlignment="1" applyProtection="1">
      <alignment horizontal="left" vertical="center"/>
    </xf>
    <xf numFmtId="178" fontId="16" fillId="0" borderId="29" xfId="7" applyFont="1" applyFill="1" applyBorder="1" applyAlignment="1" applyProtection="1">
      <alignment horizontal="left" vertical="center" wrapText="1"/>
    </xf>
    <xf numFmtId="178" fontId="16" fillId="0" borderId="2" xfId="7" applyFont="1" applyBorder="1" applyAlignment="1" applyProtection="1">
      <alignment vertical="top" wrapText="1"/>
    </xf>
    <xf numFmtId="178" fontId="16" fillId="0" borderId="2" xfId="4" applyFont="1" applyFill="1" applyBorder="1" applyAlignment="1" applyProtection="1">
      <alignment horizontal="center" vertical="center"/>
    </xf>
    <xf numFmtId="177" fontId="38" fillId="0" borderId="2" xfId="7" applyNumberFormat="1" applyFont="1" applyBorder="1" applyAlignment="1" applyProtection="1">
      <alignment horizontal="right" vertical="center" wrapText="1"/>
    </xf>
    <xf numFmtId="177" fontId="16" fillId="0" borderId="2" xfId="9" applyNumberFormat="1" applyFont="1" applyFill="1" applyBorder="1" applyAlignment="1" applyProtection="1">
      <alignment horizontal="right" vertical="center" wrapText="1"/>
    </xf>
    <xf numFmtId="177" fontId="16" fillId="0" borderId="2" xfId="7" applyNumberFormat="1" applyFont="1" applyFill="1" applyBorder="1" applyAlignment="1" applyProtection="1">
      <alignment horizontal="right" vertical="center"/>
    </xf>
    <xf numFmtId="178" fontId="15" fillId="9" borderId="13" xfId="7" applyFont="1" applyFill="1" applyBorder="1" applyAlignment="1" applyProtection="1">
      <alignment vertical="center" wrapText="1"/>
    </xf>
    <xf numFmtId="178" fontId="15" fillId="9" borderId="31" xfId="7" applyFont="1" applyFill="1" applyBorder="1" applyAlignment="1" applyProtection="1">
      <alignment vertical="center" wrapText="1"/>
    </xf>
    <xf numFmtId="178" fontId="15" fillId="9" borderId="2" xfId="7" applyFont="1" applyFill="1" applyBorder="1" applyAlignment="1" applyProtection="1">
      <alignment vertical="center" wrapText="1"/>
    </xf>
    <xf numFmtId="177" fontId="15" fillId="9" borderId="2" xfId="7" applyNumberFormat="1" applyFont="1" applyFill="1" applyBorder="1" applyAlignment="1" applyProtection="1">
      <alignment vertical="center" wrapText="1"/>
    </xf>
    <xf numFmtId="177" fontId="15" fillId="9" borderId="2" xfId="7" applyNumberFormat="1" applyFont="1" applyFill="1" applyBorder="1" applyAlignment="1" applyProtection="1">
      <alignment horizontal="left" vertical="center" wrapText="1"/>
    </xf>
    <xf numFmtId="177" fontId="15" fillId="9" borderId="0" xfId="7" applyNumberFormat="1" applyFont="1" applyFill="1" applyBorder="1" applyAlignment="1" applyProtection="1">
      <alignment horizontal="left" vertical="center" wrapText="1"/>
    </xf>
    <xf numFmtId="178" fontId="8" fillId="9" borderId="0" xfId="7" applyFont="1" applyFill="1" applyBorder="1" applyProtection="1">
      <alignment vertical="center"/>
    </xf>
    <xf numFmtId="178" fontId="15" fillId="0" borderId="0" xfId="7" applyFont="1" applyFill="1" applyBorder="1" applyAlignment="1" applyProtection="1">
      <alignment horizontal="right" vertical="center" wrapText="1"/>
    </xf>
    <xf numFmtId="177" fontId="15" fillId="0" borderId="0" xfId="7" applyNumberFormat="1" applyFont="1" applyFill="1" applyBorder="1" applyAlignment="1" applyProtection="1">
      <alignment vertical="center" wrapText="1"/>
    </xf>
    <xf numFmtId="177" fontId="15" fillId="0" borderId="0" xfId="7" applyNumberFormat="1" applyFont="1" applyFill="1" applyBorder="1" applyAlignment="1" applyProtection="1">
      <alignment horizontal="left" vertical="center" wrapText="1"/>
    </xf>
    <xf numFmtId="178" fontId="8" fillId="0" borderId="0" xfId="7" applyFont="1" applyFill="1" applyBorder="1" applyProtection="1">
      <alignment vertical="center"/>
    </xf>
    <xf numFmtId="178" fontId="38" fillId="0" borderId="0" xfId="7" applyFont="1" applyBorder="1" applyAlignment="1" applyProtection="1">
      <alignment horizontal="left" vertical="center" wrapText="1"/>
    </xf>
    <xf numFmtId="177" fontId="8" fillId="0" borderId="0" xfId="7" applyNumberFormat="1" applyFont="1" applyBorder="1" applyAlignment="1" applyProtection="1">
      <alignment horizontal="left" vertical="center"/>
    </xf>
    <xf numFmtId="178" fontId="32" fillId="0" borderId="0" xfId="7" applyFont="1" applyBorder="1" applyProtection="1">
      <alignment vertical="center"/>
    </xf>
    <xf numFmtId="177" fontId="32" fillId="0" borderId="0" xfId="7" applyNumberFormat="1" applyFont="1" applyBorder="1" applyProtection="1">
      <alignment vertical="center"/>
    </xf>
    <xf numFmtId="177" fontId="32" fillId="0" borderId="0" xfId="7" applyNumberFormat="1" applyFont="1" applyBorder="1" applyAlignment="1" applyProtection="1">
      <alignment horizontal="left" vertical="center"/>
    </xf>
    <xf numFmtId="178" fontId="1" fillId="0" borderId="0" xfId="7" applyFont="1" applyBorder="1" applyAlignment="1">
      <alignment vertical="center" wrapText="1"/>
    </xf>
    <xf numFmtId="178" fontId="1" fillId="0" borderId="0" xfId="7" applyFont="1" applyBorder="1" applyAlignment="1">
      <alignment vertical="center"/>
    </xf>
    <xf numFmtId="178" fontId="15" fillId="0" borderId="0" xfId="7" applyFont="1" applyFill="1" applyBorder="1" applyAlignment="1" applyProtection="1">
      <alignment horizontal="center" vertical="center" wrapText="1"/>
    </xf>
    <xf numFmtId="178" fontId="15" fillId="0" borderId="0" xfId="7" applyFont="1" applyFill="1" applyBorder="1" applyAlignment="1" applyProtection="1">
      <alignment horizontal="center" vertical="center"/>
    </xf>
    <xf numFmtId="178" fontId="17" fillId="0" borderId="0" xfId="7" applyFont="1" applyBorder="1" applyAlignment="1">
      <alignment vertical="center" wrapText="1"/>
    </xf>
    <xf numFmtId="178" fontId="17" fillId="0" borderId="0" xfId="7" applyFont="1" applyBorder="1" applyAlignment="1">
      <alignment vertical="center"/>
    </xf>
    <xf numFmtId="178" fontId="17" fillId="0" borderId="0" xfId="7" applyFont="1" applyAlignment="1">
      <alignment vertical="center" wrapText="1"/>
    </xf>
    <xf numFmtId="178" fontId="17" fillId="0" borderId="0" xfId="7" applyFont="1" applyAlignment="1">
      <alignment vertical="center"/>
    </xf>
    <xf numFmtId="178" fontId="8" fillId="0" borderId="16" xfId="7" applyFont="1" applyFill="1" applyBorder="1" applyAlignment="1" applyProtection="1">
      <alignment horizontal="center" vertical="center" wrapText="1"/>
    </xf>
    <xf numFmtId="178" fontId="8" fillId="0" borderId="0" xfId="7" applyFont="1" applyAlignment="1">
      <alignment vertical="center"/>
    </xf>
    <xf numFmtId="178" fontId="8" fillId="0" borderId="16" xfId="7" applyFont="1" applyFill="1" applyBorder="1" applyAlignment="1" applyProtection="1">
      <alignment vertical="center" wrapText="1"/>
    </xf>
    <xf numFmtId="178" fontId="8" fillId="0" borderId="0" xfId="7" applyFont="1" applyAlignment="1">
      <alignment vertical="center" wrapText="1"/>
    </xf>
    <xf numFmtId="178" fontId="8" fillId="0" borderId="21" xfId="7" applyFont="1" applyFill="1" applyBorder="1" applyAlignment="1" applyProtection="1">
      <alignment vertical="center" wrapText="1"/>
    </xf>
    <xf numFmtId="43" fontId="4" fillId="0" borderId="4" xfId="6" applyFont="1" applyBorder="1" applyAlignment="1">
      <alignment horizontal="center" vertical="center"/>
    </xf>
    <xf numFmtId="43" fontId="4" fillId="0" borderId="2" xfId="6" applyFont="1" applyBorder="1" applyAlignment="1">
      <alignment horizontal="center" vertical="center"/>
    </xf>
    <xf numFmtId="43" fontId="36" fillId="0" borderId="0" xfId="6" applyFont="1">
      <alignment vertical="center"/>
    </xf>
    <xf numFmtId="178" fontId="4" fillId="0" borderId="4" xfId="0" applyFont="1" applyBorder="1" applyAlignment="1">
      <alignment horizontal="center" vertical="center"/>
    </xf>
    <xf numFmtId="178" fontId="4" fillId="0" borderId="4" xfId="0" applyFont="1" applyBorder="1" applyAlignment="1">
      <alignment horizontal="center" vertical="center" wrapText="1"/>
    </xf>
    <xf numFmtId="178" fontId="4" fillId="0" borderId="2" xfId="0" applyFont="1" applyBorder="1" applyAlignment="1">
      <alignment horizontal="center" vertical="center" wrapText="1"/>
    </xf>
    <xf numFmtId="0" fontId="4" fillId="0" borderId="3" xfId="0" applyNumberFormat="1" applyFont="1" applyBorder="1" applyAlignment="1">
      <alignment horizontal="center" vertical="center"/>
    </xf>
    <xf numFmtId="0" fontId="5" fillId="0" borderId="6" xfId="0" applyNumberFormat="1" applyFont="1" applyBorder="1" applyAlignment="1">
      <alignment horizontal="center" vertical="center"/>
    </xf>
    <xf numFmtId="0" fontId="4" fillId="0" borderId="6" xfId="0" applyNumberFormat="1" applyFont="1" applyBorder="1" applyAlignment="1">
      <alignment horizontal="center" vertical="center"/>
    </xf>
    <xf numFmtId="0" fontId="0" fillId="0" borderId="0" xfId="0" applyNumberFormat="1">
      <alignment vertical="center"/>
    </xf>
    <xf numFmtId="0" fontId="5" fillId="0" borderId="6" xfId="0" applyNumberFormat="1" applyFont="1" applyFill="1" applyBorder="1" applyAlignment="1">
      <alignment horizontal="center" vertical="center"/>
    </xf>
    <xf numFmtId="178" fontId="5" fillId="0" borderId="2" xfId="0" applyFont="1" applyFill="1" applyBorder="1" applyAlignment="1">
      <alignment horizontal="center" vertical="center" wrapText="1"/>
    </xf>
    <xf numFmtId="178" fontId="6" fillId="0" borderId="2" xfId="0" applyFont="1" applyFill="1" applyBorder="1" applyAlignment="1">
      <alignment horizontal="center" vertical="center" wrapText="1"/>
    </xf>
    <xf numFmtId="176" fontId="5" fillId="0" borderId="2" xfId="0" applyNumberFormat="1" applyFont="1" applyFill="1" applyBorder="1" applyAlignment="1">
      <alignment horizontal="center" vertical="center" wrapText="1"/>
    </xf>
    <xf numFmtId="43" fontId="5" fillId="0" borderId="2" xfId="0" applyNumberFormat="1" applyFont="1" applyFill="1" applyBorder="1" applyAlignment="1">
      <alignment horizontal="center" vertical="center"/>
    </xf>
    <xf numFmtId="43" fontId="5" fillId="0" borderId="2" xfId="6" applyFont="1" applyFill="1" applyBorder="1" applyAlignment="1">
      <alignment horizontal="center" vertical="center"/>
    </xf>
    <xf numFmtId="178" fontId="5" fillId="0" borderId="7" xfId="0" applyFont="1" applyFill="1" applyBorder="1" applyAlignment="1">
      <alignment horizontal="center" vertical="center"/>
    </xf>
    <xf numFmtId="178" fontId="0" fillId="0" borderId="0" xfId="0" applyFill="1">
      <alignment vertical="center"/>
    </xf>
    <xf numFmtId="176" fontId="5" fillId="0" borderId="2" xfId="0" applyNumberFormat="1" applyFont="1" applyFill="1" applyBorder="1" applyAlignment="1">
      <alignment horizontal="center" vertical="center"/>
    </xf>
    <xf numFmtId="178" fontId="40" fillId="0" borderId="2" xfId="0" applyFont="1" applyFill="1" applyBorder="1" applyAlignment="1">
      <alignment horizontal="center" vertical="center" wrapText="1"/>
    </xf>
    <xf numFmtId="43" fontId="4" fillId="0" borderId="2" xfId="6" applyFont="1" applyFill="1" applyBorder="1" applyAlignment="1">
      <alignment horizontal="center" vertical="center" wrapText="1"/>
    </xf>
    <xf numFmtId="43" fontId="4" fillId="0" borderId="2" xfId="6" applyFont="1" applyFill="1" applyBorder="1" applyAlignment="1">
      <alignment horizontal="center" vertical="center"/>
    </xf>
    <xf numFmtId="0" fontId="4" fillId="10" borderId="6" xfId="0" applyNumberFormat="1" applyFont="1" applyFill="1" applyBorder="1" applyAlignment="1">
      <alignment horizontal="center" vertical="center"/>
    </xf>
    <xf numFmtId="178" fontId="4" fillId="10" borderId="2" xfId="0" applyFont="1" applyFill="1" applyBorder="1" applyAlignment="1">
      <alignment horizontal="center" vertical="center"/>
    </xf>
    <xf numFmtId="178" fontId="4" fillId="10" borderId="2" xfId="0" applyFont="1" applyFill="1" applyBorder="1" applyAlignment="1">
      <alignment horizontal="center" vertical="center" wrapText="1"/>
    </xf>
    <xf numFmtId="43" fontId="4" fillId="10" borderId="2" xfId="6" applyFont="1" applyFill="1" applyBorder="1" applyAlignment="1">
      <alignment horizontal="center" vertical="center"/>
    </xf>
    <xf numFmtId="178" fontId="4" fillId="10" borderId="7" xfId="0" applyFont="1" applyFill="1" applyBorder="1" applyAlignment="1">
      <alignment horizontal="center" vertical="center"/>
    </xf>
    <xf numFmtId="2" fontId="5" fillId="0" borderId="2" xfId="0" applyNumberFormat="1" applyFont="1" applyBorder="1" applyAlignment="1">
      <alignment horizontal="center" vertical="center" wrapText="1"/>
    </xf>
    <xf numFmtId="0" fontId="5" fillId="0" borderId="9" xfId="0" applyNumberFormat="1" applyFont="1" applyBorder="1" applyAlignment="1">
      <alignment horizontal="center" vertical="center"/>
    </xf>
    <xf numFmtId="178" fontId="5" fillId="0" borderId="10" xfId="0" applyFont="1" applyBorder="1" applyAlignment="1">
      <alignment horizontal="center" vertical="center" wrapText="1"/>
    </xf>
    <xf numFmtId="2" fontId="5" fillId="0" borderId="10" xfId="0" applyNumberFormat="1" applyFont="1" applyBorder="1" applyAlignment="1">
      <alignment horizontal="center" vertical="center"/>
    </xf>
    <xf numFmtId="0" fontId="36" fillId="0" borderId="0" xfId="0" applyNumberFormat="1" applyFont="1">
      <alignment vertical="center"/>
    </xf>
    <xf numFmtId="178" fontId="36" fillId="0" borderId="0" xfId="0" applyFont="1">
      <alignment vertical="center"/>
    </xf>
    <xf numFmtId="43" fontId="4" fillId="0" borderId="10" xfId="6" quotePrefix="1" applyFont="1" applyBorder="1" applyAlignment="1">
      <alignment horizontal="center" vertical="center"/>
    </xf>
    <xf numFmtId="0" fontId="5" fillId="0" borderId="2" xfId="6" quotePrefix="1" applyNumberFormat="1" applyFont="1" applyBorder="1" applyAlignment="1">
      <alignment horizontal="right" vertical="center"/>
    </xf>
    <xf numFmtId="178" fontId="5" fillId="0" borderId="2" xfId="0" quotePrefix="1" applyFont="1" applyBorder="1" applyAlignment="1">
      <alignment horizontal="right" vertical="center"/>
    </xf>
    <xf numFmtId="178" fontId="5" fillId="0" borderId="10" xfId="0" quotePrefix="1" applyFont="1" applyBorder="1" applyAlignment="1">
      <alignment horizontal="right" vertical="center"/>
    </xf>
    <xf numFmtId="0" fontId="11" fillId="0" borderId="0" xfId="7" applyNumberFormat="1" applyFont="1" applyBorder="1" applyAlignment="1" applyProtection="1">
      <alignment horizontal="center" vertical="center" wrapText="1"/>
    </xf>
    <xf numFmtId="0" fontId="13" fillId="0" borderId="15" xfId="7" applyNumberFormat="1" applyFont="1" applyBorder="1" applyAlignment="1" applyProtection="1">
      <alignment horizontal="center" vertical="center" wrapText="1"/>
    </xf>
    <xf numFmtId="0" fontId="13" fillId="8" borderId="17" xfId="7" applyNumberFormat="1" applyFont="1" applyFill="1" applyBorder="1" applyAlignment="1" applyProtection="1">
      <alignment horizontal="center" vertical="center" wrapText="1"/>
    </xf>
    <xf numFmtId="0" fontId="16" fillId="0" borderId="17" xfId="7" applyNumberFormat="1" applyFont="1" applyFill="1" applyBorder="1" applyAlignment="1" applyProtection="1">
      <alignment horizontal="center" vertical="center" wrapText="1"/>
    </xf>
    <xf numFmtId="0" fontId="16" fillId="0" borderId="29" xfId="7" applyNumberFormat="1" applyFont="1" applyFill="1" applyBorder="1" applyAlignment="1" applyProtection="1">
      <alignment horizontal="center" vertical="center" wrapText="1"/>
    </xf>
    <xf numFmtId="0" fontId="16" fillId="0" borderId="17" xfId="7" applyNumberFormat="1" applyFont="1" applyBorder="1" applyAlignment="1" applyProtection="1">
      <alignment horizontal="center" vertical="center" wrapText="1"/>
    </xf>
    <xf numFmtId="0" fontId="16" fillId="0" borderId="2" xfId="7" applyNumberFormat="1" applyFont="1" applyBorder="1" applyAlignment="1" applyProtection="1">
      <alignment horizontal="center" vertical="center" wrapText="1"/>
    </xf>
    <xf numFmtId="0" fontId="15" fillId="9" borderId="12" xfId="7" applyNumberFormat="1" applyFont="1" applyFill="1" applyBorder="1" applyAlignment="1" applyProtection="1">
      <alignment vertical="center" wrapText="1"/>
    </xf>
    <xf numFmtId="0" fontId="15" fillId="0" borderId="0" xfId="7" applyNumberFormat="1" applyFont="1" applyFill="1" applyBorder="1" applyAlignment="1" applyProtection="1">
      <alignment horizontal="right" vertical="center" wrapText="1"/>
    </xf>
    <xf numFmtId="0" fontId="32" fillId="0" borderId="0" xfId="7" applyNumberFormat="1" applyFont="1" applyBorder="1" applyProtection="1">
      <alignment vertical="center"/>
    </xf>
    <xf numFmtId="0" fontId="16" fillId="0" borderId="29" xfId="7" applyNumberFormat="1" applyFont="1" applyBorder="1" applyAlignment="1" applyProtection="1">
      <alignment horizontal="center" vertical="center" wrapText="1"/>
    </xf>
    <xf numFmtId="0" fontId="16" fillId="0" borderId="30" xfId="7" applyNumberFormat="1" applyFont="1" applyBorder="1" applyAlignment="1" applyProtection="1">
      <alignment horizontal="center" vertical="center" wrapText="1"/>
    </xf>
    <xf numFmtId="178" fontId="16" fillId="0" borderId="29" xfId="7" applyFont="1" applyBorder="1" applyAlignment="1" applyProtection="1">
      <alignment horizontal="left" vertical="center" wrapText="1"/>
    </xf>
    <xf numFmtId="178" fontId="16" fillId="0" borderId="30" xfId="7" applyFont="1" applyBorder="1" applyAlignment="1" applyProtection="1">
      <alignment horizontal="left" vertical="center" wrapText="1"/>
    </xf>
    <xf numFmtId="178" fontId="11" fillId="0" borderId="0" xfId="7" applyFont="1" applyBorder="1" applyAlignment="1" applyProtection="1">
      <alignment horizontal="center" vertical="center" wrapText="1"/>
    </xf>
    <xf numFmtId="0" fontId="13" fillId="0" borderId="2" xfId="7" applyNumberFormat="1" applyFont="1" applyBorder="1" applyAlignment="1" applyProtection="1">
      <alignment horizontal="center" vertical="center" wrapText="1"/>
    </xf>
    <xf numFmtId="178" fontId="13" fillId="0" borderId="2" xfId="7" applyFont="1" applyBorder="1" applyAlignment="1" applyProtection="1">
      <alignment horizontal="center" vertical="center" wrapText="1"/>
    </xf>
    <xf numFmtId="178" fontId="13" fillId="0" borderId="2" xfId="7" applyFont="1" applyFill="1" applyBorder="1" applyAlignment="1" applyProtection="1">
      <alignment horizontal="center" vertical="center" wrapText="1"/>
    </xf>
    <xf numFmtId="177" fontId="13" fillId="0" borderId="2" xfId="7" applyNumberFormat="1" applyFont="1" applyBorder="1" applyAlignment="1" applyProtection="1">
      <alignment horizontal="center" vertical="center" wrapText="1"/>
    </xf>
    <xf numFmtId="177" fontId="13" fillId="0" borderId="8" xfId="7" applyNumberFormat="1" applyFont="1" applyBorder="1" applyAlignment="1" applyProtection="1">
      <alignment horizontal="center" vertical="center" wrapText="1"/>
    </xf>
    <xf numFmtId="177" fontId="13" fillId="0" borderId="28" xfId="7" applyNumberFormat="1" applyFont="1" applyBorder="1" applyAlignment="1" applyProtection="1">
      <alignment horizontal="center" vertical="center" wrapText="1"/>
    </xf>
    <xf numFmtId="177" fontId="13" fillId="0" borderId="27" xfId="7" applyNumberFormat="1" applyFont="1" applyBorder="1" applyAlignment="1" applyProtection="1">
      <alignment horizontal="center" vertical="center" wrapText="1"/>
    </xf>
    <xf numFmtId="178" fontId="16" fillId="0" borderId="29" xfId="7" applyFont="1" applyFill="1" applyBorder="1" applyAlignment="1" applyProtection="1">
      <alignment horizontal="center" vertical="center" wrapText="1"/>
    </xf>
    <xf numFmtId="178" fontId="16" fillId="0" borderId="28" xfId="7" applyFont="1" applyFill="1" applyBorder="1" applyAlignment="1" applyProtection="1">
      <alignment horizontal="center" vertical="center" wrapText="1"/>
    </xf>
    <xf numFmtId="177" fontId="13" fillId="6" borderId="8" xfId="4" applyNumberFormat="1" applyFont="1" applyFill="1" applyBorder="1" applyAlignment="1" applyProtection="1">
      <alignment horizontal="center" vertical="center" wrapText="1"/>
    </xf>
    <xf numFmtId="177" fontId="13" fillId="6" borderId="28" xfId="4" applyNumberFormat="1" applyFont="1" applyFill="1" applyBorder="1" applyAlignment="1" applyProtection="1">
      <alignment horizontal="center" vertical="center" wrapText="1"/>
    </xf>
    <xf numFmtId="177" fontId="13" fillId="6" borderId="27" xfId="4" applyNumberFormat="1" applyFont="1" applyFill="1" applyBorder="1" applyAlignment="1" applyProtection="1">
      <alignment horizontal="center" vertical="center" wrapText="1"/>
    </xf>
    <xf numFmtId="178" fontId="38" fillId="0" borderId="0" xfId="7" applyFont="1" applyBorder="1" applyAlignment="1" applyProtection="1">
      <alignment horizontal="left" vertical="top" wrapText="1"/>
    </xf>
    <xf numFmtId="178" fontId="16" fillId="0" borderId="28" xfId="7" applyFont="1" applyBorder="1" applyAlignment="1" applyProtection="1">
      <alignment horizontal="left" vertical="center" wrapText="1"/>
    </xf>
    <xf numFmtId="178" fontId="8" fillId="7" borderId="19" xfId="7" applyFont="1" applyFill="1" applyBorder="1" applyAlignment="1" applyProtection="1">
      <alignment horizontal="left" vertical="center" wrapText="1"/>
    </xf>
    <xf numFmtId="178" fontId="8" fillId="7" borderId="24" xfId="7" applyFont="1" applyFill="1" applyBorder="1" applyAlignment="1" applyProtection="1">
      <alignment horizontal="left" vertical="center" wrapText="1"/>
    </xf>
    <xf numFmtId="178" fontId="18" fillId="0" borderId="0" xfId="7" applyFont="1" applyFill="1" applyBorder="1" applyAlignment="1" applyProtection="1">
      <alignment horizontal="center" vertical="center" wrapText="1"/>
    </xf>
    <xf numFmtId="178" fontId="18" fillId="0" borderId="0" xfId="7" applyFont="1" applyFill="1" applyBorder="1" applyAlignment="1" applyProtection="1">
      <alignment horizontal="center" vertical="center"/>
    </xf>
    <xf numFmtId="178" fontId="17" fillId="0" borderId="14" xfId="7" applyFont="1" applyFill="1" applyBorder="1" applyAlignment="1" applyProtection="1">
      <alignment horizontal="left" vertical="center"/>
    </xf>
    <xf numFmtId="178" fontId="17" fillId="0" borderId="18" xfId="7" applyFont="1" applyFill="1" applyBorder="1" applyAlignment="1" applyProtection="1">
      <alignment horizontal="left" vertical="center"/>
    </xf>
    <xf numFmtId="178" fontId="17" fillId="0" borderId="23" xfId="7" applyFont="1" applyFill="1" applyBorder="1" applyAlignment="1" applyProtection="1">
      <alignment horizontal="left" vertical="center"/>
    </xf>
    <xf numFmtId="178" fontId="8" fillId="0" borderId="19" xfId="7" applyFont="1" applyFill="1" applyBorder="1" applyAlignment="1" applyProtection="1">
      <alignment horizontal="left" vertical="center" wrapText="1"/>
    </xf>
    <xf numFmtId="178" fontId="8" fillId="0" borderId="24" xfId="7" applyFont="1" applyFill="1" applyBorder="1" applyAlignment="1" applyProtection="1">
      <alignment horizontal="left" vertical="center" wrapText="1"/>
    </xf>
    <xf numFmtId="178" fontId="15" fillId="0" borderId="16" xfId="7" applyFont="1" applyFill="1" applyBorder="1" applyAlignment="1" applyProtection="1">
      <alignment horizontal="left" vertical="center" wrapText="1"/>
    </xf>
    <xf numFmtId="178" fontId="15" fillId="0" borderId="19" xfId="7" applyFont="1" applyFill="1" applyBorder="1" applyAlignment="1" applyProtection="1">
      <alignment horizontal="left" vertical="center" wrapText="1"/>
    </xf>
    <xf numFmtId="178" fontId="15" fillId="0" borderId="24" xfId="7" applyFont="1" applyFill="1" applyBorder="1" applyAlignment="1" applyProtection="1">
      <alignment horizontal="left" vertical="center" wrapText="1"/>
    </xf>
    <xf numFmtId="178" fontId="8" fillId="0" borderId="22" xfId="7" applyFont="1" applyFill="1" applyBorder="1" applyAlignment="1" applyProtection="1">
      <alignment horizontal="left" vertical="center" wrapText="1"/>
    </xf>
    <xf numFmtId="178" fontId="8" fillId="0" borderId="26" xfId="7" applyFont="1" applyFill="1" applyBorder="1" applyAlignment="1" applyProtection="1">
      <alignment horizontal="left" vertical="center" wrapText="1"/>
    </xf>
    <xf numFmtId="49" fontId="15" fillId="0" borderId="16" xfId="7" applyNumberFormat="1" applyFont="1" applyFill="1" applyBorder="1" applyAlignment="1" applyProtection="1">
      <alignment horizontal="left" vertical="center" wrapText="1"/>
    </xf>
    <xf numFmtId="49" fontId="15" fillId="0" borderId="19" xfId="7" applyNumberFormat="1" applyFont="1" applyFill="1" applyBorder="1" applyAlignment="1" applyProtection="1">
      <alignment horizontal="left" vertical="center" wrapText="1"/>
    </xf>
    <xf numFmtId="49" fontId="15" fillId="0" borderId="24" xfId="7" applyNumberFormat="1" applyFont="1" applyFill="1" applyBorder="1" applyAlignment="1" applyProtection="1">
      <alignment horizontal="left" vertical="center" wrapText="1"/>
    </xf>
    <xf numFmtId="178" fontId="34" fillId="0" borderId="0" xfId="2" applyFont="1" applyBorder="1" applyAlignment="1" applyProtection="1">
      <alignment horizontal="center" vertical="center"/>
    </xf>
    <xf numFmtId="178" fontId="22" fillId="0" borderId="0" xfId="2" applyFont="1" applyBorder="1" applyAlignment="1" applyProtection="1">
      <alignment horizontal="center" vertical="center"/>
    </xf>
    <xf numFmtId="178" fontId="22" fillId="0" borderId="0" xfId="2" applyFont="1" applyBorder="1" applyAlignment="1" applyProtection="1">
      <alignment horizontal="center" vertical="center" wrapText="1"/>
    </xf>
    <xf numFmtId="178" fontId="18" fillId="0" borderId="0" xfId="0" applyFont="1" applyFill="1" applyBorder="1" applyAlignment="1" applyProtection="1">
      <alignment horizontal="center" vertical="center" wrapText="1"/>
    </xf>
    <xf numFmtId="178" fontId="18" fillId="0" borderId="0" xfId="0" applyFont="1" applyFill="1" applyBorder="1" applyAlignment="1" applyProtection="1">
      <alignment horizontal="center" vertical="center"/>
    </xf>
    <xf numFmtId="178" fontId="17" fillId="0" borderId="14" xfId="0" applyFont="1" applyFill="1" applyBorder="1" applyAlignment="1" applyProtection="1">
      <alignment horizontal="left" vertical="center"/>
    </xf>
    <xf numFmtId="178" fontId="17" fillId="0" borderId="18" xfId="0" applyFont="1" applyFill="1" applyBorder="1" applyAlignment="1" applyProtection="1">
      <alignment horizontal="left" vertical="center"/>
    </xf>
    <xf numFmtId="178" fontId="17" fillId="0" borderId="23" xfId="0" applyFont="1" applyFill="1" applyBorder="1" applyAlignment="1" applyProtection="1">
      <alignment horizontal="left" vertical="center"/>
    </xf>
    <xf numFmtId="178" fontId="8" fillId="0" borderId="19" xfId="0" applyFont="1" applyFill="1" applyBorder="1" applyAlignment="1" applyProtection="1">
      <alignment horizontal="left" vertical="center" wrapText="1"/>
    </xf>
    <xf numFmtId="178" fontId="8" fillId="0" borderId="24" xfId="0" applyFont="1" applyFill="1" applyBorder="1" applyAlignment="1" applyProtection="1">
      <alignment horizontal="left" vertical="center" wrapText="1"/>
    </xf>
    <xf numFmtId="178" fontId="15" fillId="0" borderId="16" xfId="0" applyFont="1" applyFill="1" applyBorder="1" applyAlignment="1" applyProtection="1">
      <alignment horizontal="left" vertical="center" wrapText="1"/>
    </xf>
    <xf numFmtId="178" fontId="15" fillId="0" borderId="19" xfId="0" applyFont="1" applyFill="1" applyBorder="1" applyAlignment="1" applyProtection="1">
      <alignment horizontal="left" vertical="center" wrapText="1"/>
    </xf>
    <xf numFmtId="178" fontId="15" fillId="0" borderId="24" xfId="0" applyFont="1" applyFill="1" applyBorder="1" applyAlignment="1" applyProtection="1">
      <alignment horizontal="left" vertical="center" wrapText="1"/>
    </xf>
    <xf numFmtId="178" fontId="33" fillId="0" borderId="19" xfId="0" applyFont="1" applyFill="1" applyBorder="1" applyAlignment="1" applyProtection="1">
      <alignment horizontal="left" vertical="center" wrapText="1"/>
    </xf>
    <xf numFmtId="178" fontId="8" fillId="0" borderId="20" xfId="0" applyFont="1" applyFill="1" applyBorder="1" applyAlignment="1" applyProtection="1">
      <alignment horizontal="left" vertical="center" wrapText="1"/>
    </xf>
    <xf numFmtId="178" fontId="8" fillId="0" borderId="25" xfId="0" applyFont="1" applyFill="1" applyBorder="1" applyAlignment="1" applyProtection="1">
      <alignment horizontal="left" vertical="center" wrapText="1"/>
    </xf>
    <xf numFmtId="178" fontId="8" fillId="0" borderId="22" xfId="0" applyFont="1" applyFill="1" applyBorder="1" applyAlignment="1" applyProtection="1">
      <alignment horizontal="left" vertical="center" wrapText="1"/>
    </xf>
    <xf numFmtId="178" fontId="8" fillId="0" borderId="26" xfId="0" applyFont="1" applyFill="1" applyBorder="1" applyAlignment="1" applyProtection="1">
      <alignment horizontal="left" vertical="center" wrapText="1"/>
    </xf>
    <xf numFmtId="49" fontId="15" fillId="0" borderId="16" xfId="0" applyNumberFormat="1" applyFont="1" applyFill="1" applyBorder="1" applyAlignment="1" applyProtection="1">
      <alignment horizontal="left" vertical="center" wrapText="1"/>
    </xf>
    <xf numFmtId="49" fontId="15" fillId="0" borderId="19" xfId="0" applyNumberFormat="1" applyFont="1" applyFill="1" applyBorder="1" applyAlignment="1" applyProtection="1">
      <alignment horizontal="left" vertical="center" wrapText="1"/>
    </xf>
    <xf numFmtId="49" fontId="15" fillId="0" borderId="24" xfId="0" applyNumberFormat="1" applyFont="1" applyFill="1" applyBorder="1" applyAlignment="1" applyProtection="1">
      <alignment horizontal="left" vertical="center" wrapText="1"/>
    </xf>
    <xf numFmtId="178" fontId="10" fillId="0" borderId="0" xfId="0" applyFont="1" applyFill="1" applyBorder="1" applyAlignment="1" applyProtection="1">
      <alignment horizontal="center" vertical="center" wrapText="1"/>
    </xf>
    <xf numFmtId="178" fontId="11" fillId="0" borderId="0" xfId="0" applyFont="1" applyFill="1" applyBorder="1" applyAlignment="1" applyProtection="1">
      <alignment horizontal="center" vertical="center" wrapText="1"/>
    </xf>
    <xf numFmtId="178" fontId="14" fillId="0" borderId="2" xfId="0" applyNumberFormat="1" applyFont="1" applyFill="1" applyBorder="1" applyAlignment="1" applyProtection="1">
      <alignment horizontal="center" vertical="center" wrapText="1"/>
    </xf>
    <xf numFmtId="177" fontId="13" fillId="4" borderId="12" xfId="0" applyNumberFormat="1" applyFont="1" applyFill="1" applyBorder="1" applyAlignment="1" applyProtection="1">
      <alignment horizontal="center" vertical="center" wrapText="1"/>
    </xf>
    <xf numFmtId="177" fontId="13" fillId="4" borderId="13" xfId="0" applyNumberFormat="1" applyFont="1" applyFill="1" applyBorder="1" applyAlignment="1" applyProtection="1">
      <alignment horizontal="center" vertical="center" wrapText="1"/>
    </xf>
    <xf numFmtId="178" fontId="14" fillId="5" borderId="2" xfId="0" applyNumberFormat="1" applyFont="1" applyFill="1" applyBorder="1" applyAlignment="1" applyProtection="1">
      <alignment horizontal="center" vertical="center" wrapText="1"/>
    </xf>
    <xf numFmtId="178" fontId="13" fillId="0" borderId="2" xfId="0" applyFont="1" applyFill="1" applyBorder="1" applyAlignment="1" applyProtection="1">
      <alignment horizontal="center" vertical="center" wrapText="1"/>
    </xf>
    <xf numFmtId="177" fontId="13" fillId="0" borderId="2" xfId="0" applyNumberFormat="1" applyFont="1" applyFill="1" applyBorder="1" applyAlignment="1" applyProtection="1">
      <alignment horizontal="center" vertical="center" wrapText="1"/>
    </xf>
    <xf numFmtId="178" fontId="1" fillId="0" borderId="0" xfId="0" applyFont="1" applyAlignment="1">
      <alignment horizontal="center" vertical="center"/>
    </xf>
    <xf numFmtId="178" fontId="5" fillId="0" borderId="7" xfId="0" applyFont="1" applyBorder="1" applyAlignment="1">
      <alignment horizontal="center" vertical="center" wrapText="1"/>
    </xf>
    <xf numFmtId="178" fontId="5" fillId="0" borderId="11" xfId="0" applyFont="1" applyBorder="1" applyAlignment="1">
      <alignment horizontal="center" vertical="center" wrapText="1"/>
    </xf>
    <xf numFmtId="178" fontId="1" fillId="0" borderId="1" xfId="0" applyFont="1" applyBorder="1" applyAlignment="1">
      <alignment horizontal="center" vertical="center"/>
    </xf>
    <xf numFmtId="43" fontId="2" fillId="0" borderId="2" xfId="6" applyFont="1" applyBorder="1" applyAlignment="1">
      <alignment horizontal="center" vertical="center"/>
    </xf>
    <xf numFmtId="43" fontId="3" fillId="2" borderId="2" xfId="6" applyFont="1" applyFill="1" applyBorder="1" applyAlignment="1">
      <alignment horizontal="center" vertical="center" wrapText="1"/>
    </xf>
    <xf numFmtId="43" fontId="0" fillId="0" borderId="2" xfId="6" applyFont="1" applyBorder="1">
      <alignment vertical="center"/>
    </xf>
  </cellXfs>
  <cellStyles count="12">
    <cellStyle name="ColLevel_1" xfId="5"/>
    <cellStyle name="百分比 2" xfId="8"/>
    <cellStyle name="常规" xfId="0" builtinId="0"/>
    <cellStyle name="常规 10 2 2" xfId="2"/>
    <cellStyle name="常规 14 3" xfId="1"/>
    <cellStyle name="常规 2" xfId="4"/>
    <cellStyle name="常规 3" xfId="7"/>
    <cellStyle name="常规 3 2" xfId="9"/>
    <cellStyle name="常规_副本幕墙工程(打印3) 2" xfId="3"/>
    <cellStyle name="千位分隔" xfId="6" builtinId="3"/>
    <cellStyle name="千位分隔 2" xfId="10"/>
    <cellStyle name="千位分隔 3" xf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358588</xdr:colOff>
      <xdr:row>0</xdr:row>
      <xdr:rowOff>670803</xdr:rowOff>
    </xdr:from>
    <xdr:to>
      <xdr:col>14</xdr:col>
      <xdr:colOff>587052</xdr:colOff>
      <xdr:row>12</xdr:row>
      <xdr:rowOff>159437</xdr:rowOff>
    </xdr:to>
    <xdr:pic>
      <xdr:nvPicPr>
        <xdr:cNvPr id="2" name="图片 1">
          <a:extLst>
            <a:ext uri="{FF2B5EF4-FFF2-40B4-BE49-F238E27FC236}">
              <a16:creationId xmlns=""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17201029" y="670803"/>
          <a:ext cx="5013376" cy="4172693"/>
        </a:xfrm>
        <a:prstGeom prst="rect">
          <a:avLst/>
        </a:prstGeom>
      </xdr:spPr>
    </xdr:pic>
    <xdr:clientData/>
  </xdr:twoCellAnchor>
  <xdr:twoCellAnchor editAs="oneCell">
    <xdr:from>
      <xdr:col>7</xdr:col>
      <xdr:colOff>481853</xdr:colOff>
      <xdr:row>12</xdr:row>
      <xdr:rowOff>280147</xdr:rowOff>
    </xdr:from>
    <xdr:to>
      <xdr:col>15</xdr:col>
      <xdr:colOff>24989</xdr:colOff>
      <xdr:row>16</xdr:row>
      <xdr:rowOff>61073</xdr:rowOff>
    </xdr:to>
    <xdr:pic>
      <xdr:nvPicPr>
        <xdr:cNvPr id="3" name="图片 2">
          <a:extLst>
            <a:ext uri="{FF2B5EF4-FFF2-40B4-BE49-F238E27FC236}">
              <a16:creationId xmlns="" xmlns:a16="http://schemas.microsoft.com/office/drawing/2014/main" id="{00000000-0008-0000-0300-000005000000}"/>
            </a:ext>
          </a:extLst>
        </xdr:cNvPr>
        <xdr:cNvPicPr>
          <a:picLocks noChangeAspect="1"/>
        </xdr:cNvPicPr>
      </xdr:nvPicPr>
      <xdr:blipFill>
        <a:blip xmlns:r="http://schemas.openxmlformats.org/officeDocument/2006/relationships" r:embed="rId2"/>
        <a:stretch>
          <a:fillRect/>
        </a:stretch>
      </xdr:blipFill>
      <xdr:spPr>
        <a:xfrm>
          <a:off x="17324294" y="4964206"/>
          <a:ext cx="5011607" cy="1316132"/>
        </a:xfrm>
        <a:prstGeom prst="rect">
          <a:avLst/>
        </a:prstGeom>
      </xdr:spPr>
    </xdr:pic>
    <xdr:clientData/>
  </xdr:twoCellAnchor>
  <xdr:twoCellAnchor editAs="oneCell">
    <xdr:from>
      <xdr:col>1</xdr:col>
      <xdr:colOff>3260911</xdr:colOff>
      <xdr:row>25</xdr:row>
      <xdr:rowOff>11206</xdr:rowOff>
    </xdr:from>
    <xdr:to>
      <xdr:col>5</xdr:col>
      <xdr:colOff>1093692</xdr:colOff>
      <xdr:row>33</xdr:row>
      <xdr:rowOff>114119</xdr:rowOff>
    </xdr:to>
    <xdr:pic>
      <xdr:nvPicPr>
        <xdr:cNvPr id="4" name="图片 3"/>
        <xdr:cNvPicPr>
          <a:picLocks noChangeAspect="1"/>
        </xdr:cNvPicPr>
      </xdr:nvPicPr>
      <xdr:blipFill>
        <a:blip xmlns:r="http://schemas.openxmlformats.org/officeDocument/2006/relationships" r:embed="rId3"/>
        <a:stretch>
          <a:fillRect/>
        </a:stretch>
      </xdr:blipFill>
      <xdr:spPr>
        <a:xfrm>
          <a:off x="4213411" y="8281147"/>
          <a:ext cx="8971428" cy="14476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34701;&#21019;2016-2017&#30707;&#26448;&#37319;&#36141;&#25307;&#26631;&#25991;&#20214;&#21450;&#20854;&#38468;&#20214;\&#31532;&#19968;&#27425;&#25237;&#26631;\RecoveredExternalLink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6"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00&#20108;&#32423;&#24179;&#21488;\5&#12289;&#20020;&#26102;&#32479;&#35745;\010.&#37325;&#22823;&#20105;&#35758;&#20107;&#39033;&#21608;&#26803;&#29702;\03.&#20107;&#21153;&#25152;&#20105;&#35758;\&#24314;&#35774;&#21335;&#36335;\&#38468;&#20214;1%20&#21306;&#37319;&#28165;&#2133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pmad2"/>
      <sheetName val="15-1示范区标底"/>
      <sheetName val="标底单价"/>
      <sheetName val="报价汇总表"/>
      <sheetName val="5#楼门窗工程量"/>
      <sheetName val="5#楼玻璃"/>
      <sheetName val="5#楼五金"/>
      <sheetName val="5#楼百叶型材"/>
      <sheetName val="5#楼门窗型材"/>
      <sheetName val="M0823"/>
      <sheetName val="M0823-1"/>
      <sheetName val="M1524"/>
      <sheetName val="TLM1624"/>
      <sheetName val="TLM1824"/>
      <sheetName val="TLM2424"/>
      <sheetName val="MLC1124"/>
      <sheetName val="MLC1124-1"/>
      <sheetName val="MLC1224"/>
      <sheetName val="MLC1224-1"/>
      <sheetName val="MLC1223B"/>
      <sheetName val="C0612B"/>
      <sheetName val="C0611"/>
      <sheetName val="C2423"/>
      <sheetName val="C1115"/>
      <sheetName val="C1415"/>
      <sheetName val="C1514B"/>
      <sheetName val="TC1018"/>
      <sheetName val="TC1319B"/>
      <sheetName val="TC1319B-1"/>
      <sheetName val="TC1019B"/>
      <sheetName val="TC1423"/>
      <sheetName val="TC1423-1"/>
      <sheetName val="TC1519B"/>
      <sheetName val="TC1519B-1"/>
      <sheetName val="TC1819B"/>
      <sheetName val="TC1819B-1"/>
      <sheetName val="TC1823"/>
      <sheetName val="TC1823-1"/>
      <sheetName val="C1830"/>
      <sheetName val="C2719B"/>
      <sheetName val="TC1419B"/>
      <sheetName val="TC1419B-1"/>
      <sheetName val="c2723"/>
      <sheetName val="M0923"/>
      <sheetName val="M0923-1"/>
      <sheetName val="BY0708"/>
      <sheetName val="BY0712"/>
      <sheetName val="BY0523"/>
      <sheetName val="BY1208"/>
      <sheetName val="BY2608"/>
      <sheetName val="BY1010"/>
      <sheetName val="BY1219B"/>
      <sheetName val="BY0519B"/>
      <sheetName val="BY0719B"/>
      <sheetName val="BY0723"/>
      <sheetName val="BY1223"/>
      <sheetName val="BY1123"/>
      <sheetName val="BY2604"/>
      <sheetName val="Sheet1"/>
      <sheetName val="模式"/>
      <sheetName val="DLTLM2024推门"/>
      <sheetName val="DLTM0821"/>
      <sheetName val="DLMC1224B"/>
      <sheetName val="DLMC1324C"/>
      <sheetName val="DLTC1119"/>
      <sheetName val="DLTC1719A"/>
      <sheetName val="DLTC2019"/>
      <sheetName val="DLTLM1524推门"/>
      <sheetName val="2"/>
      <sheetName val="2型材"/>
      <sheetName val="2玻璃"/>
      <sheetName val="2五金"/>
      <sheetName val="商业S3#楼门窗工程量"/>
      <sheetName val="S3楼门窗钢通"/>
      <sheetName val="商业S3#楼玻璃"/>
      <sheetName val="商业S3#门窗型材"/>
      <sheetName val="S3#百叶型材"/>
      <sheetName val="商业S3#楼五金"/>
      <sheetName val="大六联百叶型材"/>
      <sheetName val="MCL3537"/>
      <sheetName val="MLC3637"/>
      <sheetName val="MLC2937"/>
      <sheetName val="MLC3634"/>
      <sheetName val="MLC5036B"/>
      <sheetName val="MLC2832B"/>
      <sheetName val="MLC3532B"/>
      <sheetName val="MLC2829B"/>
      <sheetName val="M1827B"/>
      <sheetName val="MLC3523B"/>
      <sheetName val="MLC2923B"/>
      <sheetName val="MLC4523B"/>
      <sheetName val="M1837"/>
      <sheetName val="M2137"/>
      <sheetName val="MLC2837"/>
      <sheetName val="MLC5237"/>
      <sheetName val="MLC5037"/>
      <sheetName val="MLC3737"/>
      <sheetName val="MLC3037"/>
      <sheetName val="MLC2935"/>
      <sheetName val="MLC4332"/>
      <sheetName val="MLC7332"/>
      <sheetName val="MLC3630"/>
      <sheetName val="MLC3328B"/>
      <sheetName val="MLC3527"/>
      <sheetName val="MLC4940"/>
      <sheetName val="MLC4240"/>
      <sheetName val="MLC4040"/>
      <sheetName val="C2740"/>
      <sheetName val="MLC2940"/>
      <sheetName val="MLC3237B"/>
      <sheetName val="C0640"/>
      <sheetName val="MLC3540"/>
      <sheetName val="C2140"/>
      <sheetName val="BY3811"/>
      <sheetName val="BY7511"/>
      <sheetName val="BY5511"/>
      <sheetName val="BY4609"/>
      <sheetName val="BY2109"/>
      <sheetName val="BY2809"/>
      <sheetName val="BY5209"/>
      <sheetName val="BY5009"/>
      <sheetName val="BY3709"/>
      <sheetName val="BY3009"/>
      <sheetName val="BY2909"/>
      <sheetName val="BY4509"/>
      <sheetName val="BY7309"/>
      <sheetName val="BY3609"/>
      <sheetName val="BY3809"/>
      <sheetName val="BY3509"/>
      <sheetName val="BY4309"/>
      <sheetName val="BY4009"/>
      <sheetName val="BY3209"/>
      <sheetName val="钢通"/>
      <sheetName val="DLTLM2124推门"/>
      <sheetName val="封面"/>
      <sheetName val="汇总表"/>
      <sheetName val="编制说明"/>
      <sheetName val="综合单价清单【老项目】"/>
      <sheetName val="综合单价清单【新项目】"/>
      <sheetName val="主要材料价格表"/>
      <sheetName val="土建钢材价格"/>
      <sheetName val="附表1 生化池措施清单"/>
      <sheetName val="附表2 资质认证"/>
      <sheetName val="SW-TEO"/>
      <sheetName val="Proposal"/>
      <sheetName val="BA Quotation"/>
      <sheetName val="VAV Box"/>
      <sheetName val="Material Cost"/>
      <sheetName val="Labour_SubCon_Others"/>
      <sheetName val="CIS Supplementary"/>
      <sheetName val="CAF-1"/>
      <sheetName val="CAF-2"/>
      <sheetName val="PR"/>
      <sheetName val="Combo"/>
      <sheetName val="Data"/>
      <sheetName val="Data2"/>
      <sheetName val="21"/>
      <sheetName val="#REF!"/>
      <sheetName val="结算汇总"/>
      <sheetName val="签证汇总"/>
      <sheetName val="签证清单"/>
      <sheetName val="造价汇总"/>
      <sheetName val="B1-3复式"/>
      <sheetName val="H1-201小高"/>
      <sheetName val="00000000"/>
      <sheetName val="#REF"/>
      <sheetName val="内围地梁钢筋说明"/>
      <sheetName val="墙面工程"/>
      <sheetName val="22"/>
      <sheetName val="24"/>
      <sheetName val="Module3"/>
      <sheetName val="Module2"/>
      <sheetName val="Module1"/>
      <sheetName val="编码说明"/>
      <sheetName val="使用指引"/>
      <sheetName val="全周期汇总表"/>
      <sheetName val="前期"/>
      <sheetName val="建安"/>
      <sheetName val="基础"/>
      <sheetName val="配套"/>
      <sheetName val="成本指标"/>
      <sheetName val="差异分析"/>
      <sheetName val="RGDP"/>
      <sheetName val="ASIA"/>
      <sheetName val="总表"/>
      <sheetName val="清单说明"/>
      <sheetName val="沥青道路0４"/>
      <sheetName val="措施（一）０６"/>
      <sheetName val="措施（二）０７"/>
      <sheetName val="规费０８"/>
      <sheetName val="点工单价11 "/>
      <sheetName val="修改工程12"/>
      <sheetName val="Sheet2"/>
      <sheetName val="单位工程汇总表"/>
      <sheetName val="2#地上土建工程"/>
      <sheetName val="3#地上土建工程"/>
      <sheetName val="地下室土建工程"/>
      <sheetName val="安装工程"/>
      <sheetName val="2#土建暂定材料清单"/>
      <sheetName val="3#土建暂定材料清单"/>
      <sheetName val="地下室土建暂定材料清单"/>
      <sheetName val="安装暂定材料"/>
      <sheetName val="安装甲供材料"/>
      <sheetName val="措施一"/>
      <sheetName val="2#楼措施二"/>
      <sheetName val="3#楼措施二"/>
      <sheetName val="地下室措施二"/>
      <sheetName val="规费"/>
      <sheetName val="其他项目清单"/>
      <sheetName val="分包配合费"/>
      <sheetName val="零星工作"/>
      <sheetName val="2#楼或3#楼主要材料价格表"/>
      <sheetName val="地下室主要材料价格表"/>
      <sheetName val="安装工程主要材料价格表"/>
      <sheetName val="甲方分包工程"/>
      <sheetName val="G.1R-Shou COP Gf"/>
      <sheetName val="Toolbox"/>
      <sheetName val="POWER ASSUMPTIONS"/>
      <sheetName val="Financ. Overview"/>
      <sheetName val="电视监控"/>
      <sheetName val="Open"/>
      <sheetName val="合同"/>
      <sheetName val="Main"/>
      <sheetName val="钢筋计算表"/>
      <sheetName val="建安工程费(全)"/>
      <sheetName val="建安工程费（住宅）"/>
      <sheetName val="JIRR"/>
      <sheetName val="全周期"/>
      <sheetName val="地下室单列汇总"/>
      <sheetName val="差异分析2"/>
      <sheetName val="商业技术差异"/>
      <sheetName val="住宅技术差异"/>
      <sheetName val="学校技术差异"/>
      <sheetName val="测算记录"/>
      <sheetName val="工程量计算"/>
      <sheetName val="业态成本统计表 "/>
      <sheetName val="Macro1"/>
      <sheetName val="工程造价汇总表"/>
      <sheetName val="清单"/>
      <sheetName val="综合单价分析表"/>
      <sheetName val="材料清单"/>
      <sheetName val="汇总"/>
      <sheetName val="EPS线条栏杆"/>
      <sheetName val="1号楼石材"/>
      <sheetName val="6号楼石材 "/>
      <sheetName val="玻璃幕墙"/>
      <sheetName val="门窗百叶"/>
      <sheetName val="单位库"/>
      <sheetName val="项目汇总"/>
      <sheetName val="销售回款预测"/>
      <sheetName val="8"/>
      <sheetName val="6"/>
      <sheetName val="面积合计（藏）"/>
      <sheetName val="7"/>
      <sheetName val="3"/>
      <sheetName val="4"/>
      <sheetName val="投标材料清单 "/>
      <sheetName val="5"/>
      <sheetName val="1"/>
      <sheetName val="折线图2数据"/>
      <sheetName val="11年计划"/>
      <sheetName val="字段"/>
      <sheetName val="主要规划指标"/>
      <sheetName val="开发"/>
      <sheetName val="销售财务日报表②"/>
      <sheetName val="设计指标"/>
      <sheetName val="ZB"/>
      <sheetName val="1.投标总价封面"/>
      <sheetName val="塔吊工程"/>
      <sheetName val="编码"/>
      <sheetName val="村级支出"/>
      <sheetName val="安装清单"/>
      <sheetName val="建筑面积 "/>
      <sheetName val="项目明细帐"/>
      <sheetName val="目标成本修订稿与正式稿量价对比表"/>
      <sheetName val="钢筋.砼等动态成本调整表"/>
      <sheetName val="钢筋加权平均价计算明细"/>
      <sheetName val="砼加权平均价计算明细"/>
      <sheetName val="砖加权平均价计算明细"/>
      <sheetName val="水泥加权平均价计算明细"/>
      <sheetName val="钢筋汇总"/>
      <sheetName val="基础台帐"/>
      <sheetName val="季度计划"/>
      <sheetName val="月度计划"/>
      <sheetName val="动态跟踪表"/>
      <sheetName val="南通"/>
      <sheetName val="迪亚特"/>
      <sheetName val="中航"/>
      <sheetName val="联盛"/>
      <sheetName val="永嘉"/>
      <sheetName val="水厂海宏"/>
      <sheetName val="动态跟踪表旧"/>
      <sheetName val="业务台帐"/>
      <sheetName val="施工单位通讯录"/>
      <sheetName val="进度"/>
      <sheetName val="综合认价"/>
      <sheetName val="扣款"/>
      <sheetName val="任务单"/>
      <sheetName val="变更单"/>
      <sheetName val="工程量核定"/>
      <sheetName val="签证"/>
      <sheetName val="付款内审表"/>
      <sheetName val="决算扣款清单"/>
      <sheetName val="结算台账"/>
      <sheetName val="标底台账"/>
      <sheetName val="浙江昆仑"/>
      <sheetName val="通力电梯"/>
      <sheetName val="鸿浩"/>
      <sheetName val="顶美装饰"/>
      <sheetName val="鑫森电力（供货安装）"/>
      <sheetName val="昆仑"/>
      <sheetName val="康海"/>
      <sheetName val="朗迪"/>
      <sheetName val="燃气（泳池）"/>
      <sheetName val="新迎顺"/>
      <sheetName val="多次付款动态样表"/>
      <sheetName val="决算书扣款清单样表"/>
      <sheetName val="Sheet3"/>
      <sheetName val="Backup of Backup of LINDA LISTO"/>
      <sheetName val="FYYS-1-编制底稿04-招聘活动支出"/>
      <sheetName val="现金流量"/>
      <sheetName val="成本分析"/>
      <sheetName val="专7、现金流量表"/>
      <sheetName val="9栋结算表"/>
      <sheetName val="2#地下室签证"/>
      <sheetName val="三区补充第二次9#楼"/>
      <sheetName val="一区第二次追加"/>
      <sheetName val="钢筋计算表(计算稿)"/>
      <sheetName val="钢筋汇总表"/>
      <sheetName val="箍筋计算器"/>
      <sheetName val="植筋"/>
      <sheetName val="9#"/>
      <sheetName val="一区追加结算"/>
      <sheetName val="2#地下室"/>
      <sheetName val="钢筋计算表(计算稿) (2)"/>
      <sheetName val="经济指标"/>
      <sheetName val="参照表"/>
      <sheetName val="参数表"/>
      <sheetName val="Sheet1 (11)"/>
      <sheetName val="税金预测"/>
      <sheetName val="税金缴纳情况"/>
      <sheetName val="土地款预测"/>
      <sheetName val="08.01"/>
      <sheetName val="政府性收费预测"/>
      <sheetName val="46亩(新)"/>
      <sheetName val="基础数据命名表"/>
      <sheetName val="技术指标"/>
      <sheetName val="1-4栋结算清单汇总表"/>
      <sheetName val="苗圃提供"/>
      <sheetName val="招标清单"/>
      <sheetName val="全部清单"/>
      <sheetName val="汇总表1"/>
      <sheetName val="全周期汇总表 (合并)"/>
      <sheetName val="直接成本汇总表"/>
      <sheetName val="经济指标表"/>
      <sheetName val="目标成本各版本修订说明"/>
      <sheetName val="总价表"/>
      <sheetName val="电话"/>
      <sheetName val="对讲"/>
      <sheetName val="门禁、一卡通"/>
      <sheetName val="电子巡更"/>
      <sheetName val="背景音乐"/>
      <sheetName val="电子围栏"/>
      <sheetName val="停车场"/>
      <sheetName val="XL4Poppy"/>
      <sheetName val="差异分析表"/>
      <sheetName val="工程量计算明细"/>
      <sheetName val="前期工程费"/>
      <sheetName val="建安工程费"/>
      <sheetName val="基础设施费"/>
      <sheetName val="配套设施费"/>
      <sheetName val="前期已用费用"/>
      <sheetName val="规划指标"/>
      <sheetName val="应收账款明细表"/>
      <sheetName val="mwin"/>
      <sheetName val="应收账款汇总表"/>
      <sheetName val="200612"/>
      <sheetName val="200701"/>
      <sheetName val="200702"/>
      <sheetName val="200703"/>
      <sheetName val="200704"/>
      <sheetName val="200705"/>
      <sheetName val="200706"/>
      <sheetName val="200707"/>
      <sheetName val="200708"/>
      <sheetName val="200709"/>
      <sheetName val="200710"/>
      <sheetName val="200711"/>
      <sheetName val="200712"/>
      <sheetName val="2008.1"/>
      <sheetName val="2008.2"/>
      <sheetName val="上年末"/>
      <sheetName val="1月"/>
      <sheetName val="10月"/>
      <sheetName val="11月"/>
      <sheetName val="12月"/>
      <sheetName val="2月"/>
      <sheetName val="3月"/>
      <sheetName val="4月"/>
      <sheetName val="5月"/>
      <sheetName val="6月"/>
      <sheetName val="7月"/>
      <sheetName val="8月"/>
      <sheetName val="9月"/>
      <sheetName val="新明源销售财务日报"/>
      <sheetName val="item information"/>
      <sheetName val="附4、土地成本构成及支付计划表）"/>
      <sheetName val="第一次分析"/>
      <sheetName val="第二次分析"/>
      <sheetName val="第三次分析"/>
      <sheetName val="汇总表 "/>
      <sheetName val="土建总包工程量清单"/>
      <sheetName val="措施费-住宅（含底商） "/>
      <sheetName val="措施费-独立及院落商业地上 "/>
      <sheetName val="材料基价"/>
      <sheetName val="材料认价"/>
      <sheetName val="标底编制需工程部明确事项 "/>
      <sheetName val="大型机械设备基础、进出场及安拆费"/>
      <sheetName val="塔吊费用"/>
      <sheetName val="施工电梯"/>
      <sheetName val="脚手架"/>
      <sheetName val="模板费、砌体、内墙抹灰、内墙腻子人工费分析"/>
      <sheetName val="进度关键控制点"/>
      <sheetName val="3.投标总价汇总表"/>
      <sheetName val="4.1土建工程量清单计价表"/>
      <sheetName val="人员支出"/>
      <sheetName val="一般预算收入"/>
      <sheetName val="2.工程量清单编制说明"/>
      <sheetName val="4.1土建工程量清单计价表 "/>
      <sheetName val="4.2 钢材材料调价表"/>
      <sheetName val="4.3材料调价"/>
      <sheetName val="4.4人工调价"/>
      <sheetName val="4.5土建主要材料价格表"/>
      <sheetName val="5.1安装工程量清单计价表 "/>
      <sheetName val="7.1措施费"/>
      <sheetName val="7.1.1垂直运输费分析表"/>
      <sheetName val="8.1施工总承包配合费"/>
      <sheetName val="9.1规费"/>
      <sheetName val="10.其他工作项目报价清单"/>
      <sheetName val="11.甲供材范围划分及甲定乙供材料品牌"/>
      <sheetName val="土建清单"/>
      <sheetName val="预拌砂浆"/>
      <sheetName val="措施费"/>
      <sheetName val="材料表"/>
      <sheetName val="JIAKHP"/>
      <sheetName val="单项造价指标"/>
      <sheetName val="工程量指标分析"/>
      <sheetName val="经济技术指标"/>
      <sheetName val="非预拌砂浆"/>
      <sheetName val="评审报告"/>
      <sheetName val="技术方案 "/>
      <sheetName val="一标段钢筋进场明细"/>
      <sheetName val="二标段钢筋进场明细"/>
      <sheetName val="一标段砼加权平均价计算明细"/>
      <sheetName val="一标段商砼调差"/>
      <sheetName val="二标段商砼调差"/>
      <sheetName val="前(栖居)"/>
      <sheetName val="动态回顾"/>
      <sheetName val="动态成本明细"/>
      <sheetName val="合同明细台账"/>
      <sheetName val="合同变更明细台账"/>
      <sheetName val="口径外成本统计"/>
      <sheetName val="金双楠一期-大门"/>
      <sheetName val="金双楠一期1-6#楼"/>
      <sheetName val="金双楠一期瓦屋面"/>
      <sheetName val="综合单价分析"/>
      <sheetName val="标底评审报告"/>
      <sheetName val="1、2、3、5栋塑钢门窗计算表"/>
      <sheetName val="5#7层以上"/>
      <sheetName val="5#7层以下"/>
      <sheetName val="Sheet4"/>
      <sheetName val="修正说明"/>
      <sheetName val="复核后分色统计"/>
      <sheetName val="复核工程量"/>
      <sheetName val="标准层基础数据(原空调个数有误)"/>
      <sheetName val="1#"/>
      <sheetName val="2#"/>
      <sheetName val="3#"/>
      <sheetName val="4# "/>
      <sheetName val="5#"/>
      <sheetName val="6#"/>
      <sheetName val="7#"/>
      <sheetName val="8#"/>
      <sheetName val="10#"/>
      <sheetName val="11#"/>
      <sheetName val="12#"/>
      <sheetName val="Sheet17"/>
      <sheetName val="pldt"/>
      <sheetName val="编码说明1"/>
      <sheetName val="地下室及基础单列汇总表"/>
      <sheetName val="住宅地块总指标"/>
      <sheetName val="技术指标分析"/>
      <sheetName val="与方案2版比"/>
      <sheetName val="形象进度"/>
      <sheetName val="产值汇总"/>
      <sheetName val="进度产值汇总表"/>
      <sheetName val="土建清单汇总表"/>
      <sheetName val="13#楼土建清单"/>
      <sheetName val="14#楼土建清单"/>
      <sheetName val="15#楼土建清单"/>
      <sheetName val="16#楼土建清单"/>
      <sheetName val="地下室土建清单"/>
      <sheetName val="钢材调差汇总表"/>
      <sheetName val="钢材调差"/>
      <sheetName val="砼调差"/>
      <sheetName val="材料基价表"/>
      <sheetName val="填写说明"/>
      <sheetName val="2.1-基础台帐（总包）"/>
      <sheetName val="2.1-基础台帐 (分包)"/>
      <sheetName val="2.2-基础台帐 (安装工程)"/>
      <sheetName val="3-标底台账"/>
      <sheetName val="4-收方管理台账"/>
      <sheetName val="5-综合认价台账"/>
      <sheetName val="6-结算台账"/>
      <sheetName val="7-超目标成本台账"/>
      <sheetName val="9-成本优化统计表"/>
      <sheetName val="10-无效成本统计表"/>
      <sheetName val="11-合同总价形成动态跟踪表"/>
      <sheetName val="硬景工程"/>
      <sheetName val="安装工程 "/>
      <sheetName val="大乔木 "/>
      <sheetName val="中小乔 "/>
      <sheetName val="地被 "/>
      <sheetName val="灌木 "/>
      <sheetName val="球类竹类 "/>
      <sheetName val="综合单价分析表(土建)"/>
      <sheetName val="经济指标分析表"/>
      <sheetName val="技术方案"/>
      <sheetName val="分录表"/>
      <sheetName val="销售财务日报汇总②"/>
      <sheetName val="1-合同台账"/>
      <sheetName val="2.1-基础台帐（土建）"/>
      <sheetName val="2.2-基础台帐（安装）"/>
      <sheetName val="8.1-动态跟踪表汇总"/>
      <sheetName val="8.2-动态跟踪表"/>
      <sheetName val="金宇1#地"/>
      <sheetName val="兴网传媒"/>
      <sheetName val="思瑞安1#地"/>
      <sheetName val="合创1#地"/>
      <sheetName val="天府消防"/>
      <sheetName val="市政"/>
      <sheetName val="市政2、3#"/>
      <sheetName val="绿茵"/>
      <sheetName val="东方"/>
      <sheetName val="海宏"/>
      <sheetName val="通安达"/>
      <sheetName val="鸿浩4#地样板"/>
      <sheetName val="凯能"/>
      <sheetName val="御风23"/>
      <sheetName val="御风45"/>
      <sheetName val="思瑞安23"/>
      <sheetName val="思瑞安45"/>
      <sheetName val="园丁"/>
      <sheetName val="园丁1#"/>
      <sheetName val="海宏 (2)"/>
      <sheetName val="海宏1#地"/>
      <sheetName val="兴网"/>
      <sheetName val="三江"/>
      <sheetName val="凯能1#地"/>
      <sheetName val="其他"/>
      <sheetName val="172亩住宅地块总指标"/>
      <sheetName val="配置标准表"/>
      <sheetName val="户内改造费用"/>
      <sheetName val="172亩户内改造费用详情"/>
      <sheetName val="匡算工程量"/>
      <sheetName val="投标报价汇总表"/>
      <sheetName val="成都迪康车间改造工程清单"/>
      <sheetName val="成都库房-安装清单"/>
      <sheetName val="成都固体车间-安装清单"/>
      <sheetName val="成都提取车间-安装"/>
      <sheetName val="综合单价分析表安装"/>
      <sheetName val="土建材料询价表"/>
      <sheetName val="安装主要材料价格表"/>
      <sheetName val="成都固体车间-B545安装清单"/>
      <sheetName val="基础项目"/>
      <sheetName val="RecoveredExternalLink1"/>
      <sheetName val="POWER ASSUMPTION"/>
      <sheetName val="指标分类汇总"/>
      <sheetName val="建(栖居)"/>
      <sheetName val="基(栖居)"/>
      <sheetName val="零星工程量"/>
      <sheetName val="_REF!"/>
      <sheetName val="本期发生"/>
      <sheetName val="11度华丹"/>
      <sheetName val="13度高浓"/>
      <sheetName val="13度分配表"/>
      <sheetName val="13.65度雪花"/>
      <sheetName val="13.6雪花分配表"/>
      <sheetName val="13.65度沈阳"/>
      <sheetName val="13.65沈阳分配表"/>
      <sheetName val="11度干啤"/>
      <sheetName val="酵造过滤分配"/>
      <sheetName val="新水分配表"/>
      <sheetName val="酿造煤水电"/>
      <sheetName val="酿造麦芽"/>
      <sheetName val="煤水电备份 "/>
      <sheetName val="10.5度成本表"/>
      <sheetName val="11度雪成本表"/>
      <sheetName val="11度亚特成本表"/>
      <sheetName val="雪花干成本表"/>
      <sheetName val="华丹成本表"/>
      <sheetName val="11度沈阳鲜成本表"/>
      <sheetName val="制品辅料"/>
      <sheetName val="制品煤水电"/>
      <sheetName val="制品瓶盖商标"/>
      <sheetName val="雪花分配表"/>
      <sheetName val="雪花干分配表"/>
      <sheetName val="沈阳鲜分配表"/>
      <sheetName val="华丹分配"/>
      <sheetName val="桶酒15L"/>
      <sheetName val="桶酒20L"/>
      <sheetName val="桶酒30L"/>
      <sheetName val="桶酒10L"/>
      <sheetName val="桶酒5L"/>
      <sheetName val="桶酒20L (雪) "/>
      <sheetName val="桶酒30L (雪)  "/>
      <sheetName val="桶酒15L(华）"/>
      <sheetName val="桶酒20L（华）"/>
      <sheetName val="桶酒30L（华）"/>
      <sheetName val="桶酒20L(雪花干）"/>
      <sheetName val="核算项目余额表"/>
      <sheetName val="说明"/>
      <sheetName val="销量"/>
      <sheetName val="共享"/>
      <sheetName val="促销活动"/>
      <sheetName val="活动"/>
      <sheetName val="±¾ÆÚ·¢Éú"/>
      <sheetName val="11¶È»ªµ¤"/>
      <sheetName val="13¶È¸ßÅ¨"/>
      <sheetName val="13¶È·ÖÅä±í"/>
      <sheetName val="13.65¶ÈÑ©»¨"/>
      <sheetName val="13.6Ñ©»¨·ÖÅä±í"/>
      <sheetName val="13.65¶ÈÉòÑô"/>
      <sheetName val="13.65ÉòÑô·ÖÅä±í"/>
      <sheetName val="11¶È¸ÉÆ¡"/>
      <sheetName val="½ÍÔì¹ýÂË·ÖÅä"/>
      <sheetName val="ÐÂË®·ÖÅä±í"/>
      <sheetName val="ÄðÔìÃºË®µç"/>
      <sheetName val="ÄðÔìÂóÑ¿"/>
      <sheetName val="»ã×Ü±í"/>
      <sheetName val="ÃºË®µç±¸·Ý "/>
      <sheetName val="10.5¶È³É±¾±í"/>
      <sheetName val="11¶ÈÑ©³É±¾±í"/>
      <sheetName val="11¶ÈÑÇÌØ³É±¾±í"/>
      <sheetName val="Ñ©»¨¸É³É±¾±í"/>
      <sheetName val="»ªµ¤³É±¾±í"/>
      <sheetName val="11¶ÈÉòÑôÏÊ³É±¾±í"/>
      <sheetName val="ÖÆÆ·¸¨ÁÏ"/>
      <sheetName val="ÖÆÆ·ÃºË®µç"/>
      <sheetName val="ÖÆÆ·Æ¿¸ÇÉÌ±ê"/>
      <sheetName val="Ñ©»¨·ÖÅä±í"/>
      <sheetName val="Ñ©»¨¸É·ÖÅä±í"/>
      <sheetName val="ÉòÑôÏÊ·ÖÅä±í"/>
      <sheetName val="»ªµ¤·ÖÅä"/>
      <sheetName val="Í°¾Æ15L"/>
      <sheetName val="Í°¾Æ20L"/>
      <sheetName val="Í°¾Æ30L"/>
      <sheetName val="Í°¾Æ10L"/>
      <sheetName val="Í°¾Æ5L"/>
      <sheetName val="Í°¾Æ20L (Ñ©) "/>
      <sheetName val="Í°¾Æ30L (Ñ©)  "/>
      <sheetName val="Í°¾Æ15L(»ª£©"/>
      <sheetName val="Í°¾Æ20L£¨»ª£©"/>
      <sheetName val="Í°¾Æ30L£¨»ª£©"/>
      <sheetName val="Í°¾Æ20L(Ñ©»¨¸É£©"/>
      <sheetName val="ËµÃ÷"/>
      <sheetName val="ÏúÁ¿"/>
      <sheetName val="¹²Ïí"/>
      <sheetName val="´ÙÏú»î¶¯"/>
      <sheetName val="»î¶¯"/>
      <sheetName val="×Ü±í"/>
      <sheetName val="ºËËãÏîÄ¿Óà¶î±í"/>
      <sheetName val="¡À__¨²¡¤¡é¨¦¨²"/>
      <sheetName val="11_¨¨_a¦Ì¡è"/>
      <sheetName val="13_¨¨___¡§"/>
      <sheetName val="13_¨¨¡¤___¡À¨ª"/>
      <sheetName val="13.65_¨¨___¡§"/>
      <sheetName val="13.6___¡§¡¤___¡À¨ª"/>
      <sheetName val="13.65_¨¨¨¦¨°__"/>
      <sheetName val="13.65¨¦¨°__¡¤___¡À¨ª"/>
      <sheetName val="11_¨¨_¨¦__"/>
      <sheetName val="_¨ª_¨¬1y__¡¤___"/>
      <sheetName val="D___¡¤___¡À¨ª"/>
      <sheetName val="_e_¨¬_o__¦Ì_"/>
      <sheetName val="_e_¨¬_¨®__"/>
      <sheetName val="__¡Á¨¹¡À¨ª"/>
      <sheetName val="_o__¦Ì_¡À_¡¤Y "/>
      <sheetName val="10.5_¨¨3¨¦¡À_¡À¨ª"/>
      <sheetName val="11_¨¨__3¨¦¡À_¡À¨ª"/>
      <sheetName val="11_¨¨__¨¬_3¨¦¡À_¡À¨ª"/>
      <sheetName val="___¡§_¨¦3¨¦¡À_¡À¨ª"/>
      <sheetName val="_a¦Ì¡è3¨¦¡À_¡À¨ª"/>
      <sheetName val="11_¨¨¨¦¨°___¨º3¨¦¡À_¡À¨ª"/>
      <sheetName val="___¡¤_¡§¨¢_"/>
      <sheetName val="___¡¤_o__¦Ì_"/>
      <sheetName val="___¡¤____¨¦¨¬¡À¨º"/>
      <sheetName val="___¡§¡¤___¡À¨ª"/>
      <sheetName val="___¡§_¨¦¡¤___¡À¨ª"/>
      <sheetName val="¨¦¨°___¨º¡¤___¡À¨ª"/>
      <sheetName val="_a¦Ì¡è¡¤___"/>
      <sheetName val="¨ª¡ã__15L"/>
      <sheetName val="¨ª¡ã__20L"/>
      <sheetName val="¨ª¡ã__30L"/>
      <sheetName val="¨ª¡ã__10L"/>
      <sheetName val="¨ª¡ã__5L"/>
      <sheetName val="¨ª¡ã__20L (__) "/>
      <sheetName val="¨ª¡ã__30L (__)  "/>
      <sheetName val="¨ª¡ã__15L(_a¡ê_"/>
      <sheetName val="¨ª¡ã__20L¡ê¡§_a¡ê_"/>
      <sheetName val="¨ª¡ã__30L¡ê¡§_a¡ê_"/>
      <sheetName val="¨ª¡ã__20L(___¡§_¨¦¡ê_"/>
      <sheetName val="_¦Ì_¡Â"/>
      <sheetName val="_¨²¨¢_"/>
      <sheetName val="12_¨ª"/>
      <sheetName val="¡ä¨´_¨²___¡¥"/>
      <sheetName val="___¡¥"/>
      <sheetName val="¡Á¨¹¡À¨ª"/>
      <sheetName val="o_______¨®¨¤__¡À¨ª"/>
      <sheetName val="B"/>
      <sheetName val="22号"/>
      <sheetName val="gvl"/>
      <sheetName val="所得税凭证抽查"/>
      <sheetName val="*REF!"/>
      <sheetName val="¡À??¨²¡¤¡é¨¦¨²"/>
      <sheetName val="11?¨¨?a¦Ì¡è"/>
      <sheetName val="13?¨¨???¡§"/>
      <sheetName val="13?¨¨¡¤???¡À¨ª"/>
      <sheetName val="13.65?¨¨???¡§"/>
      <sheetName val="13.6???¡§¡¤???¡À¨ª"/>
      <sheetName val="13.65?¨¨¨¦¨°??"/>
      <sheetName val="13.65¨¦¨°??¡¤???¡À¨ª"/>
      <sheetName val="11?¨¨?¨¦??"/>
      <sheetName val="?¨ª?¨¬1y??¡¤???"/>
      <sheetName val="D???¡¤???¡À¨ª"/>
      <sheetName val="?e?¨¬?o??¦Ì?"/>
      <sheetName val="?e?¨¬?¨®??"/>
      <sheetName val="??¡Á¨¹¡À¨ª"/>
      <sheetName val="?o??¦Ì?¡À?¡¤Y "/>
      <sheetName val="10.5?¨¨3¨¦¡À?¡À¨ª"/>
      <sheetName val="11?¨¨??3¨¦¡À?¡À¨ª"/>
      <sheetName val="11?¨¨??¨¬?3¨¦¡À?¡À¨ª"/>
      <sheetName val="???¡§?¨¦3¨¦¡À?¡À¨ª"/>
      <sheetName val="?a¦Ì¡è3¨¦¡À?¡À¨ª"/>
      <sheetName val="11?¨¨¨¦¨°???¨º3¨¦¡À?¡À¨ª"/>
      <sheetName val="???¡¤?¡§¨¢?"/>
      <sheetName val="???¡¤?o??¦Ì?"/>
      <sheetName val="???¡¤????¨¦¨¬¡À¨º"/>
      <sheetName val="???¡§¡¤???¡À¨ª"/>
      <sheetName val="???¡§?¨¦¡¤???¡À¨ª"/>
      <sheetName val="¨¦¨°???¨º¡¤???¡À¨ª"/>
      <sheetName val="?a¦Ì¡è¡¤???"/>
      <sheetName val="¨ª¡ã??15L"/>
      <sheetName val="¨ª¡ã??20L"/>
      <sheetName val="¨ª¡ã??30L"/>
      <sheetName val="¨ª¡ã??10L"/>
      <sheetName val="¨ª¡ã??5L"/>
      <sheetName val="¨ª¡ã??20L (??) "/>
      <sheetName val="¨ª¡ã??30L (??)  "/>
      <sheetName val="目录"/>
      <sheetName val="1、标准财务指标表（××××项目-Ⅰ-001）"/>
      <sheetName val="2、规划设计指标表（××××项目-Ⅰ-002）"/>
      <sheetName val="3、经营预算表（××××项目-Ⅰ-003）"/>
      <sheetName val="4、现金流量简表（××××项目-Ⅰ-004）"/>
      <sheetName val="5、利润表（××××项目-Ⅰ-005）"/>
      <sheetName val="6、收入构成表（××××项目-Ⅰ-006）"/>
      <sheetName val="7、成本分析表（××××项目-Ⅰ-007） "/>
      <sheetName val="8、工程进度计划表（××××项目-Ⅰ-008）"/>
      <sheetName val="9、贷款还款计划表（××××项目-Ⅰ-009）"/>
      <sheetName val="10、土地成本构成及支付计划表（××××项目-Ⅰ-010）"/>
      <sheetName val="11、成本支付时间表（××××项目-Ⅰ-011）"/>
      <sheetName val="土地投资阶段专用表单"/>
      <sheetName val="专1、项目测算说明（××××项目-Ⅰ-012）"/>
      <sheetName val="专2、财务测算（××××项目-Ⅰ-013）"/>
      <sheetName val="专3、静态财务测算表（××××项目-Ⅰ-014）"/>
      <sheetName val="专4、预计成交价汇总表（××××项目-Ⅰ-015）"/>
      <sheetName val="专5、敏感性分析（××××项目-Ⅰ-016）"/>
      <sheetName val="专6、销售计划（××××项目-Ⅰ-017）"/>
      <sheetName val="专7、现金流量表（××××项目-Ⅰ-018）"/>
      <sheetName val="封—1 "/>
      <sheetName val="总价汇总表"/>
      <sheetName val="土建 "/>
      <sheetName val="乔木"/>
      <sheetName val="灌木"/>
      <sheetName val="水电"/>
      <sheetName val="土建增补清单"/>
      <sheetName val="乔木增补清单"/>
      <sheetName val="灌木增补清单"/>
      <sheetName val="水电增补清单"/>
      <sheetName val="堡坎、挡墙、边坡加固工程"/>
      <sheetName val="布草井经济指标表"/>
      <sheetName val="柴发"/>
      <sheetName val="车库门"/>
      <sheetName val="城建档案编制整理服务费"/>
      <sheetName val="初勘工程"/>
      <sheetName val="厨房设备经济指标表"/>
      <sheetName val="厨房洗衣房设计费"/>
      <sheetName val="厨房烟囱经济指标表"/>
      <sheetName val="橱柜指标统计表"/>
      <sheetName val="窗帘指标统计表"/>
      <sheetName val="公装"/>
      <sheetName val="道路开口工程"/>
      <sheetName val="地基基础检测工程"/>
      <sheetName val="地暖"/>
      <sheetName val="地毯指标统计表"/>
      <sheetName val="地下停车场地坪漆及车位划线导识工程"/>
      <sheetName val="第三方消防审核（顾问）费"/>
      <sheetName val="电缆指标统计表"/>
      <sheetName val="电梯供货安装"/>
      <sheetName val="店招、标识标牌安装工程"/>
      <sheetName val="二次供水设备"/>
      <sheetName val="二次机电设计（顾问）"/>
      <sheetName val="防火门"/>
      <sheetName val="防雷检测工程"/>
      <sheetName val="房屋面积测绘工程"/>
      <sheetName val="概念、方案、施工图设计工程"/>
      <sheetName val="钢材指标统计表"/>
      <sheetName val="钢构工程"/>
      <sheetName val="钢结构检测工程"/>
      <sheetName val="钢结构设计"/>
      <sheetName val="供电设计费"/>
      <sheetName val="高低压配电工程"/>
      <sheetName val="高压外线工程"/>
      <sheetName val="工程监理工程"/>
      <sheetName val="固装面板指标统计表"/>
      <sheetName val="光彩工程费"/>
      <sheetName val="光彩照明设计费"/>
      <sheetName val="锅炉采购安装"/>
      <sheetName val="航空障碍灯"/>
      <sheetName val="河道改造相关工程"/>
      <sheetName val="户外显示屏指标统计表"/>
      <sheetName val="护壁工程"/>
      <sheetName val="环保设施竣工检测工程"/>
      <sheetName val="环评、交评、地震安全评价"/>
      <sheetName val="活动家具指标统计表"/>
      <sheetName val="基坑护壁设计"/>
      <sheetName val="家用中央空调经济指标表"/>
      <sheetName val="建筑物变形观测工程"/>
      <sheetName val="洁具及洁具五金件指标统计表"/>
      <sheetName val="电器指标统计表"/>
      <sheetName val="精装修方案、施工图设计"/>
      <sheetName val="精装修"/>
      <sheetName val="景观概念、方案、初设、施工图设计"/>
      <sheetName val="酒店开办"/>
      <sheetName val="可燃气体报警控制"/>
      <sheetName val="可燃气体检测"/>
      <sheetName val="客房锁具指标统计表"/>
      <sheetName val="空调主机采购"/>
      <sheetName val="空调末端设备采购 "/>
      <sheetName val="冷却塔采购"/>
      <sheetName val="临时道路开口工程"/>
      <sheetName val="临时围墙、办公室、道路工程"/>
      <sheetName val="门窗设计"/>
      <sheetName val="母线(槽)指标统计表"/>
      <sheetName val="幕墙工程"/>
      <sheetName val="幕墙及门窗检测工程"/>
      <sheetName val="幕墙设计"/>
      <sheetName val="配电箱指标统计表"/>
      <sheetName val="桥梁工程"/>
      <sheetName val="球场相关工程"/>
      <sheetName val="燃气工程"/>
      <sheetName val="人防工程"/>
      <sheetName val="人防设计"/>
      <sheetName val="入户门"/>
      <sheetName val="弱电工程设计费"/>
      <sheetName val="审计咨询工程"/>
      <sheetName val="声学影音设计费"/>
      <sheetName val="施工临时用电工程"/>
      <sheetName val="施工图、超高超限审查"/>
      <sheetName val="示范区景观工程"/>
      <sheetName val="示范区景观设计"/>
      <sheetName val="市政道路相关工程"/>
      <sheetName val="试验桩工程"/>
      <sheetName val="室内灯光设计费"/>
      <sheetName val="室内空气质量检测工程"/>
      <sheetName val="室内泳池设备"/>
      <sheetName val="室外泳池设备"/>
      <sheetName val="售楼部、样板房建安工程"/>
      <sheetName val="售楼部工程设计"/>
      <sheetName val="售楼部及样板房外装修工程"/>
      <sheetName val="售楼部精装修设计"/>
      <sheetName val="售楼部配饰经济指标表"/>
      <sheetName val="售楼部配饰设计"/>
      <sheetName val="售楼部装修"/>
      <sheetName val="水质检测工程"/>
      <sheetName val="太阳能供暖"/>
      <sheetName val="土方工程"/>
      <sheetName val="土壤氡气检测工程"/>
      <sheetName val="外墙瓷砖(文化石)指标统计表"/>
      <sheetName val="外墙门窗"/>
      <sheetName val="污水设计"/>
      <sheetName val="洗衣房设备经济指标表"/>
      <sheetName val="详勘工程"/>
      <sheetName val="消防工程"/>
      <sheetName val="消防检测"/>
      <sheetName val="消防远程监控"/>
      <sheetName val="小区大门建筑及装饰工程"/>
      <sheetName val="信报箱制作安装工程"/>
      <sheetName val="旋转门"/>
      <sheetName val="样板房工程、精装修、配饰设计"/>
      <sheetName val="售楼部、样板房配饰工程"/>
      <sheetName val="样板房装修"/>
      <sheetName val="一户一表工程"/>
      <sheetName val="艺术、AV标识设计"/>
      <sheetName val="艺术品指标统计表"/>
      <sheetName val="用电联动报警监测"/>
      <sheetName val="有线电视"/>
      <sheetName val="造价咨询工程"/>
      <sheetName val="政府综合报建费"/>
      <sheetName val="智能化"/>
      <sheetName val="中水系统"/>
      <sheetName val="中央空调工程"/>
      <sheetName val="主体结构检测工程"/>
      <sheetName val="桩基工程"/>
      <sheetName val="桩基检测工程"/>
      <sheetName val="装饰灯具指标统计表"/>
      <sheetName val="装饰门指标统计表"/>
      <sheetName val="自来水工程"/>
      <sheetName val="总包"/>
      <sheetName val="总坪及景观"/>
      <sheetName val="坐标放线、地貌测绘工程"/>
      <sheetName val="装饰工程计价【I标段】"/>
      <sheetName val="暂定主材单价"/>
      <sheetName val="工程汇总表"/>
      <sheetName val="地下部分分部分项对比分项表"/>
      <sheetName val="地上部分分部分项对比表"/>
      <sheetName val="工程量清单计价书-备注"/>
      <sheetName val="平开窗"/>
      <sheetName val="Summary"/>
      <sheetName val="PILE CAP"/>
      <sheetName val="BEAM"/>
      <sheetName val="SLAB"/>
      <sheetName val="WALL"/>
      <sheetName val="COLUMN"/>
      <sheetName val="General"/>
      <sheetName val="Sheet5"/>
      <sheetName val="Sheet6"/>
      <sheetName val="Sheet7"/>
      <sheetName val="Sheet8"/>
      <sheetName val="Sheet9"/>
      <sheetName val="Sheet10"/>
      <sheetName val="Sheet11"/>
      <sheetName val="Sheet12"/>
      <sheetName val="Sheet13"/>
      <sheetName val="Sheet14"/>
      <sheetName val="Sheet15"/>
      <sheetName val="Sheet16"/>
      <sheetName val="常用项目"/>
      <sheetName val="1#非桩基础 "/>
      <sheetName val="投标总结"/>
      <sheetName val="塔楼给排水清单 "/>
      <sheetName val="15#裙楼土建"/>
      <sheetName val="16#裙楼土建"/>
      <sheetName val="一号清单开办费"/>
      <sheetName val="15#塔楼土建"/>
      <sheetName val="裙楼土建成本分析"/>
      <sheetName val="17#非桩基础"/>
      <sheetName val="高层塔楼土建成本分析"/>
      <sheetName val="17#裙楼土建"/>
      <sheetName val="15#非桩基础"/>
      <sheetName val="16#非桩基础"/>
      <sheetName val="地库土建"/>
      <sheetName val="18#裙楼土建 "/>
      <sheetName val="11#塔楼土建"/>
      <sheetName val="18#非桩基础 "/>
      <sheetName val="10#裙楼土建"/>
      <sheetName val="暗渠以西人防地库（暂定）"/>
      <sheetName val="1 开办费汇总"/>
      <sheetName val="应供量清单"/>
      <sheetName val="資料庫"/>
      <sheetName val="合格证 (2)"/>
      <sheetName val="明細表"/>
      <sheetName val="预算200326"/>
      <sheetName val="BQ2.10"/>
      <sheetName val="D1#地库汇总BQ3.1-SUM"/>
      <sheetName val="A6#小高层地上汇总BQ5.1-SUM"/>
      <sheetName val="A7#小高层地上汇总BQ6.1-SUM"/>
      <sheetName val="A11#高层地上汇总BQ7.1-SUM"/>
      <sheetName val="A12#小高层地上汇总BQ8.1-SUM"/>
      <sheetName val="A15#高层汇总BQ9.1-SUM"/>
      <sheetName val="A16#高层汇总BQ10.1-SUM "/>
      <sheetName val="S1#裙楼地上汇总BQ4.1-SUM"/>
      <sheetName val="GS"/>
      <sheetName val="XLR_NoRangeSheet"/>
      <sheetName val="BQ2-住宅部分"/>
      <sheetName val="BQ2-商业街部分"/>
      <sheetName val="Wl. Fin."/>
      <sheetName val="中海城三期（01A及01E小学）"/>
      <sheetName val="中海城四期（02C）"/>
      <sheetName val="型材表"/>
      <sheetName val="材料单价表"/>
      <sheetName val="配置表"/>
      <sheetName val="磨具余料庫"/>
      <sheetName val="主要项目单价分析表 "/>
      <sheetName val="电线"/>
      <sheetName val="电缆"/>
      <sheetName val="地连墙"/>
      <sheetName val="360QexF"/>
      <sheetName val="计算式"/>
      <sheetName val="增补清单"/>
      <sheetName val="增补计算"/>
      <sheetName val="主要材料表"/>
      <sheetName val="组价"/>
      <sheetName val="零星"/>
      <sheetName val="土方"/>
      <sheetName val="土方计价表"/>
      <sheetName val="施工参考单价报价表"/>
      <sheetName val="其它工作项目报价清单"/>
      <sheetName val="甲指乙供材料报价表"/>
      <sheetName val="规划建筑一览表"/>
      <sheetName val="合计"/>
      <sheetName val="P1012001"/>
      <sheetName val="回款分析"/>
      <sheetName val="收支统计"/>
      <sheetName val="销售回款"/>
      <sheetName val="销售合同"/>
      <sheetName val="现金流出"/>
      <sheetName val="回款统计"/>
      <sheetName val="明细汇总"/>
      <sheetName val="数据"/>
      <sheetName val="材料价格表"/>
      <sheetName val="与国际差异"/>
      <sheetName val="A0104差异"/>
      <sheetName val="户型统计"/>
      <sheetName val="CWYS-FYYS-1_人力成本支出测算"/>
      <sheetName val="FYYS-1-001年度人力成本测算（部门汇总）"/>
      <sheetName val="FYYS-1-002年度人力成本测算（部门）"/>
      <sheetName val="FYYS-1-编制底稿01工资及福利支出(公司领导)"/>
      <sheetName val="FYYS-1-编制底稿01工资及福利支出(财务部)"/>
      <sheetName val="FYYS-1-编制底稿01工资及福利支出(工程管理部)"/>
      <sheetName val="FYYS-1-编制底稿01工资及福利支出(技术管理部)"/>
      <sheetName val="FYYS-1-编制底稿01工资及福利支出(经营成本部)"/>
      <sheetName val="FYYS-1-编制底稿01工资及福利支出(营销运营部)"/>
      <sheetName val="FYYS-1-编制底稿01工资及福利支出(总经办)"/>
      <sheetName val="FYYS-1-编制底稿02-销售提成"/>
      <sheetName val="FYYS-1-编制底稿03-加班费 "/>
      <sheetName val="FYYS-1-编制底稿05-员工离职补偿"/>
      <sheetName val="封面 "/>
      <sheetName val="修订说明"/>
      <sheetName val="优化对比说明表"/>
      <sheetName val="建安工程（安装）"/>
      <sheetName val="单方公摊"/>
      <sheetName val="需分摊项目"/>
      <sheetName val=" 算量"/>
      <sheetName val="工程量计算式"/>
      <sheetName val="面积指标"/>
      <sheetName val="超目标成本"/>
      <sheetName val="预警通知书"/>
      <sheetName val="经济指标分析"/>
      <sheetName val="通力电梯 (主体)"/>
      <sheetName val="电梯安装"/>
      <sheetName val="观光电梯明细"/>
      <sheetName val="电梯明细"/>
      <sheetName val="莱钢泰达"/>
      <sheetName val="有线广播电施"/>
      <sheetName val="燃气（商业预留）"/>
      <sheetName val="燃气（商业预留） (补充)"/>
      <sheetName val="燃气（民用）"/>
      <sheetName val="重庆三峡"/>
      <sheetName val="蓝思特"/>
      <sheetName val="样板房弱电-合创"/>
      <sheetName val="友邦（实体样板房）"/>
      <sheetName val="供配电（昆仑）"/>
      <sheetName val="金潭"/>
      <sheetName val="深圳海贝斯"/>
      <sheetName val="明勇 (年度)"/>
      <sheetName val="四川亿隆"/>
      <sheetName val="金邦"/>
      <sheetName val="佳尼特"/>
      <sheetName val="华帝"/>
      <sheetName val="鼎威（美标）"/>
      <sheetName val=" 汉鼎"/>
      <sheetName val="南虹（格力）"/>
      <sheetName val="麦隆户箱"/>
      <sheetName val="千嘉"/>
      <sheetName val="广达锦城"/>
      <sheetName val="鸿浩（主体）"/>
      <sheetName val="君和"/>
      <sheetName val="亚萨合莱"/>
      <sheetName val="雅典"/>
      <sheetName val="科志人防"/>
      <sheetName val="基坑护壁"/>
      <sheetName val="施工用电"/>
      <sheetName val="基准方正"/>
      <sheetName val="57亩项目测算条件及配置标准表模板"/>
      <sheetName val="地基础调研"/>
      <sheetName val="工程量框算稿"/>
      <sheetName val="工程管理部"/>
      <sheetName val="成本管理部"/>
      <sheetName val="与方案2版AO1.3.02分析"/>
      <sheetName val="基础台帐（土建）"/>
      <sheetName val="基础台帐（安装）"/>
      <sheetName val="多次动态跟踪表汇总一期"/>
      <sheetName val="多次动态跟踪表汇总二期"/>
      <sheetName val="商业保温2期"/>
      <sheetName val="二期公区装设"/>
      <sheetName val="一期公区装设"/>
      <sheetName val="2期移栽树木"/>
      <sheetName val="一期消防"/>
      <sheetName val="一期屋面瓦"/>
      <sheetName val="二期商业区瓦"/>
      <sheetName val="二期商区景观（天开）"/>
      <sheetName val="二期水电安装"/>
      <sheetName val="一期楼层配电箱"/>
      <sheetName val="联发天然气"/>
      <sheetName val="雅典外墙保温"/>
      <sheetName val="一期光彩"/>
      <sheetName val="建业质量检测"/>
      <sheetName val="一期观光电梯"/>
      <sheetName val="二期土方"/>
      <sheetName val="一期土方"/>
      <sheetName val="金石"/>
      <sheetName val="惠美园艺"/>
      <sheetName val="信永中和（一期）"/>
      <sheetName val="信永中和（2期）"/>
      <sheetName val="中建四局 "/>
      <sheetName val="倍特 "/>
      <sheetName val="35亩雅典总包"/>
      <sheetName val="35亩雅典安装"/>
      <sheetName val="一期发电机组"/>
      <sheetName val="中兴供水(2期）"/>
      <sheetName val="施工图审查（一期）"/>
      <sheetName val="自来水管道(一期)"/>
      <sheetName val="一期主体沉降"/>
      <sheetName val="二期主体沉降"/>
      <sheetName val="样板房土建"/>
      <sheetName val="一期监理"/>
      <sheetName val="2期监理 "/>
      <sheetName val="二期基坑护壁"/>
      <sheetName val="一期抗浮锚杆"/>
      <sheetName val="一期人防设计"/>
      <sheetName val="二期人防设计"/>
      <sheetName val="一期人防设备"/>
      <sheetName val="二期景观施工设计"/>
      <sheetName val="一期基坑护壁"/>
      <sheetName val="鸿翔"/>
      <sheetName val="俊宏景观"/>
      <sheetName val="一期景观方案设计"/>
      <sheetName val="二期景观方案设计"/>
      <sheetName val="一期夜市"/>
      <sheetName val="二期夜市"/>
      <sheetName val="华野绿都一期"/>
      <sheetName val="华野绿都二期"/>
      <sheetName val="玛洛卡"/>
      <sheetName val="深圳城建99亩"/>
      <sheetName val="深圳城建35亩"/>
      <sheetName val="基准方中99亩"/>
      <sheetName val="基准方中35亩"/>
      <sheetName val="裕瑞"/>
      <sheetName val="一期项目施工用电"/>
      <sheetName val="二期项目施工用电"/>
      <sheetName val="样板房装饰设计"/>
      <sheetName val="一期打井降水"/>
      <sheetName val="二期打井降水"/>
      <sheetName val="2期人防设备"/>
      <sheetName val="二期商业广场景观"/>
      <sheetName val="二期抗浮锚杆"/>
      <sheetName val="2期外墙保温"/>
      <sheetName val="2期户内配电箱"/>
      <sheetName val="倍特(二期亮相区装饰)"/>
      <sheetName val="一期栏杆（东润）"/>
      <sheetName val="一期铜芯电缆"/>
      <sheetName val="一期铝合金电缆"/>
      <sheetName val="动态跟踪样表"/>
      <sheetName val="一单一结台账"/>
      <sheetName val="一单一结明细样表"/>
      <sheetName val="签证互扣登记台帐"/>
      <sheetName val="总价形成台账"/>
      <sheetName val="决算书扣款新表"/>
      <sheetName val="超目标成本台账"/>
      <sheetName val="成本优化"/>
      <sheetName val="无效成本（一期）"/>
      <sheetName val="无效成本（二期）"/>
      <sheetName val="中标分析报告"/>
      <sheetName val="收方管理台帐"/>
      <sheetName val="一期光彩设计费"/>
      <sheetName val="¨ª¡ã??15L(?a¡ê?"/>
      <sheetName val="¨ª¡ã??20L¡ê¡§?a¡ê?"/>
      <sheetName val="¨ª¡ã??30L¡ê¡§?a¡ê?"/>
      <sheetName val="¨ª¡ã??20L(???¡§?¨¦¡ê?"/>
      <sheetName val="?¦Ì?¡Â"/>
      <sheetName val="?¨²¨¢?"/>
      <sheetName val="12?¨ª"/>
      <sheetName val="¡ä¨´?¨²???¡¥"/>
      <sheetName val="???¡¥"/>
      <sheetName val="o???????¨®¨¤??¡À¨ª"/>
      <sheetName val="楼层"/>
      <sheetName val="POWER_ASSUMPTIONS"/>
      <sheetName val="G_1R-Shou_COP_Gf"/>
      <sheetName val="Financ__Overview"/>
      <sheetName val="POWER_ASSUMPTION"/>
      <sheetName val="POWER_ASSUMPTIONS1"/>
      <sheetName val="G_1R-Shou_COP_Gf1"/>
      <sheetName val="Financ__Overview1"/>
      <sheetName val="POWER_ASSUMPTION1"/>
      <sheetName val="一标段 "/>
      <sheetName val="方案4"/>
      <sheetName val="Drop Down"/>
      <sheetName val="POWERASSUMPTIONS"/>
      <sheetName val="方案1"/>
      <sheetName val="KKKKKKKK"/>
      <sheetName val="项目指标"/>
      <sheetName val="合同台账"/>
      <sheetName val="动态成本"/>
      <sheetName val="付款台账"/>
      <sheetName val="附表1"/>
      <sheetName val="Mp-team 1"/>
      <sheetName val="序列表"/>
      <sheetName val="原材料单价分析"/>
      <sheetName val="TRIAL3"/>
      <sheetName val="G-PROF1"/>
      <sheetName val="资产负债表及损益表"/>
      <sheetName val="重要内部交易"/>
      <sheetName val="财务费用"/>
      <sheetName val="管理费用"/>
      <sheetName val="营业费用"/>
      <sheetName val="制造费用"/>
      <sheetName val="会计事项调整表"/>
      <sheetName val="企业表一"/>
      <sheetName val="GP analysis Per month"/>
      <sheetName val="Sales breakdown "/>
      <sheetName val="MA Adj. Test"/>
      <sheetName val="华泰"/>
      <sheetName val="华意"/>
      <sheetName val="eva"/>
      <sheetName val="07水"/>
      <sheetName val="合同明细"/>
      <sheetName val="系数516"/>
      <sheetName val="99CCTV"/>
      <sheetName val="节奏成本"/>
      <sheetName val="StartUp"/>
      <sheetName val="工程投标总价表"/>
      <sheetName val="报价编制说明"/>
      <sheetName val="清单01-1"/>
      <sheetName val="清单01-2"/>
      <sheetName val="清单01-3"/>
      <sheetName val="措施包干费02"/>
      <sheetName val="清单03"/>
      <sheetName val="增补清单04"/>
      <sheetName val="包干单价分析表"/>
      <sheetName val="指标表"/>
      <sheetName val="4.2措施项目（模板）"/>
      <sheetName val="4.3 钢材材料调价表"/>
      <sheetName val="4.4土建主要材料价格表"/>
      <sheetName val="5.2电缆材料调价说明"/>
      <sheetName val="5.3安装主要材料表 "/>
      <sheetName val="5.4增补项目清单"/>
      <sheetName val="6措施费"/>
      <sheetName val="7施工总承包服务费"/>
      <sheetName val="8规费"/>
      <sheetName val="9.其他工作项目报价清单"/>
      <sheetName val="10.甲定乙供材料品牌"/>
      <sheetName val=" 墙"/>
      <sheetName val=" 过梁"/>
      <sheetName val=" 柱"/>
      <sheetName val="构造柱"/>
      <sheetName val="梁"/>
      <sheetName val="连梁"/>
      <sheetName val=" 圈梁"/>
      <sheetName val=" 现浇板"/>
      <sheetName val="楼地面"/>
      <sheetName val=" 墙面"/>
      <sheetName val=" 天棚"/>
      <sheetName val=" 单梁装修"/>
      <sheetName val=" 屋面"/>
      <sheetName val="罗敏楼梯 "/>
      <sheetName val="罗敏踢脚"/>
      <sheetName val="零星计算"/>
      <sheetName val="模板"/>
      <sheetName val="内墙洞口腻子"/>
      <sheetName val="手算飘窗墙面"/>
      <sheetName val="地面"/>
      <sheetName val="楼梯"/>
      <sheetName val="空调板"/>
      <sheetName val="内墙抹灰"/>
      <sheetName val="户型面积"/>
      <sheetName val="分层面积表"/>
      <sheetName val="商业地块总指标"/>
      <sheetName val="学校指标"/>
      <sheetName val="小区绿地指标"/>
      <sheetName val="安装"/>
      <sheetName val="汇总对比"/>
      <sheetName val="与拍地差异"/>
      <sheetName val="与上稿差异"/>
      <sheetName val="与长沙某项目对比"/>
      <sheetName val="与花二三期对比"/>
      <sheetName val="与花一差异"/>
      <sheetName val="户型配比"/>
      <sheetName val="报建文件"/>
      <sheetName val="测算配置"/>
      <sheetName val="地基调查"/>
      <sheetName val="基设收费"/>
      <sheetName val="汇总方式"/>
      <sheetName val="54亩(新)"/>
      <sheetName val="57亩(新)"/>
      <sheetName val="对比汇总"/>
      <sheetName val="资金计划"/>
      <sheetName val="工期计划"/>
      <sheetName val="与COCO时代差异"/>
      <sheetName val="云鼎预结"/>
      <sheetName val="coco时代"/>
      <sheetName val="标底评价"/>
      <sheetName val="水电总包标底指标提取表 "/>
      <sheetName val="表1封面"/>
      <sheetName val="表2投标报价汇总表"/>
      <sheetName val="表4.1安装总包汇总"/>
      <sheetName val="表4.2户内部分安装清单"/>
      <sheetName val="表4.3公共部分安装清单"/>
      <sheetName val="六号楼暂定清单"/>
      <sheetName val="调价材料基价"/>
      <sheetName val="OMVI"/>
      <sheetName val="概算02版工程量框算"/>
      <sheetName val="03版工程量框算"/>
      <sheetName val="3月21日方案量框算"/>
      <sheetName val="建造指标"/>
      <sheetName val="六和食品控股"/>
      <sheetName val="成都美好"/>
      <sheetName val="北京美好"/>
      <sheetName val="北京千喜鹤"/>
      <sheetName val="辽宁千喜鹤"/>
      <sheetName val="河北千喜鹤"/>
      <sheetName val="阿坝牦牛"/>
      <sheetName val="东莞龙生"/>
      <sheetName val="石门一味"/>
      <sheetName val="洪雅美好"/>
      <sheetName val="成都康源尚品商贸有限公司"/>
      <sheetName val="Sheet1 (17)"/>
      <sheetName val="Sheet1 (16)"/>
      <sheetName val="Sheet1 (15)"/>
      <sheetName val="Sheet1 (14)"/>
      <sheetName val="Sheet1 (13)"/>
      <sheetName val="Sheet1 (12)"/>
      <sheetName val="Sheet1 (10)"/>
      <sheetName val="Sheet1 (9)"/>
      <sheetName val="Sheet1 (8)"/>
      <sheetName val="Sheet1 (7)"/>
      <sheetName val="Sheet1 (6)"/>
      <sheetName val="Sheet1 (5)"/>
      <sheetName val="Sheet1 (4)"/>
      <sheetName val="Sheet1 (3)"/>
      <sheetName val="Sheet1 (2)"/>
      <sheetName val="概况"/>
      <sheetName val="说明 "/>
      <sheetName val="经营点"/>
      <sheetName val="询价"/>
      <sheetName val="分项"/>
      <sheetName val="屋面"/>
      <sheetName val="铝格栅"/>
      <sheetName val="分析"/>
      <sheetName val="材析"/>
      <sheetName val="制作"/>
      <sheetName val="主材"/>
      <sheetName val="加工厂"/>
      <sheetName val="清单汇总"/>
      <sheetName val="工程量"/>
      <sheetName val="损耗"/>
      <sheetName val="劳务"/>
      <sheetName val="人员"/>
      <sheetName val="涂装1"/>
      <sheetName val="涂装2"/>
      <sheetName val="支座1"/>
      <sheetName val="支座2"/>
      <sheetName val="1管理"/>
      <sheetName val="1.1工资"/>
      <sheetName val="1.2办公"/>
      <sheetName val="1.3其他"/>
      <sheetName val="2措施"/>
      <sheetName val="临建"/>
      <sheetName val="胎架 (2)"/>
      <sheetName val="机械"/>
      <sheetName val="安全措施和零星费用"/>
      <sheetName val="制作厂报价"/>
      <sheetName val="土建"/>
      <sheetName val="多层土建工程"/>
      <sheetName val="商业土建工程"/>
      <sheetName val="地下安装工程"/>
      <sheetName val="高层安装工程"/>
      <sheetName val="多层安装工程"/>
      <sheetName val="商业安装工程"/>
      <sheetName val="甲供及三方材料总包协调、管理费"/>
      <sheetName val="分包工程配合费、管理费清单"/>
      <sheetName val="土建三方协议材料清单"/>
      <sheetName val="安装甲供及三方协议材料清单"/>
      <sheetName val="土建乙购材料表"/>
      <sheetName val="安装乙供材料表"/>
      <sheetName val="点工费用表"/>
      <sheetName val="招标封面"/>
      <sheetName val="2.1编制说明"/>
      <sheetName val="2.2安装工程量清单使用范围"/>
      <sheetName val="3.1汇总表"/>
      <sheetName val="3.2汇总表"/>
      <sheetName val="4.1别墅清单"/>
      <sheetName val="4.3高层清单5≤层数F≤8"/>
      <sheetName val="4.4高层清单9≤层数F≤18"/>
      <sheetName val="4.5高层清单18＜层数F≤33"/>
      <sheetName val="4.6高层清单33＜层数F≤40F"/>
      <sheetName val="4.7高层清单商业（裙房商业）"/>
      <sheetName val="4.8高层清单商业（独栋商业）"/>
      <sheetName val="4.9高层清单（LOFT公寓）"/>
      <sheetName val="4.10高层清单（平层公寓等）"/>
      <sheetName val="4.13除别墅地下室、地下车库"/>
      <sheetName val="4.14清单项说明"/>
      <sheetName val="5.1措施清单A"/>
      <sheetName val="5.2措施清单B"/>
      <sheetName val="5.3措施说明"/>
      <sheetName val="其他报价表"/>
      <sheetName val="资质认证"/>
      <sheetName val="表1 招标封面"/>
      <sheetName val="4.3洋房清单5≤层数F≤8"/>
      <sheetName val="4.9高层清单层数F＞8且层高＞4.2m（LOFT公寓）"/>
      <sheetName val="4.11别墅下地下室、地下车库"/>
      <sheetName val="4.12除别墅地下室、地下车库"/>
      <sheetName val="4.13清单项说明"/>
      <sheetName val="关键节点"/>
      <sheetName val="开发时序及工期标准（南宁）"/>
      <sheetName val="示范区及样板间（南宁）"/>
      <sheetName val="示范区精装"/>
      <sheetName val="示范区景观"/>
      <sheetName val="开发时序及工期标准（重庆） (2)"/>
      <sheetName val="开发时序及工期标准（成都）"/>
      <sheetName val="建造系统工期"/>
      <sheetName val="4.2别墅清单(叠拼）"/>
      <sheetName val="过梁"/>
      <sheetName val="砼墙"/>
      <sheetName val="基础梁"/>
      <sheetName val="桩承台基础"/>
      <sheetName val="柱"/>
      <sheetName val="板"/>
      <sheetName val="地面、天花"/>
      <sheetName val="楼梯 "/>
      <sheetName val="零星砼"/>
      <sheetName val="开始(墙体)"/>
      <sheetName val="外墙装饰(标准户形) "/>
      <sheetName val="标准户形(墙体)"/>
      <sheetName val="总工程量(墙体)"/>
      <sheetName val="内墙190"/>
      <sheetName val="分户墙190"/>
      <sheetName val="外墙装饰"/>
      <sheetName val="总工程量(墙体) (2)"/>
      <sheetName val="原表模"/>
      <sheetName val="内基梁J~R"/>
      <sheetName val="钢筋模1.1"/>
      <sheetName val="内基梁A~J"/>
      <sheetName val="建筑面积"/>
      <sheetName val="1#楼"/>
      <sheetName val="1#楼单价分析表"/>
      <sheetName val="1#楼主材表"/>
      <sheetName val="1#楼型材米重"/>
      <sheetName val="会所"/>
      <sheetName val="门窗计价调价规则"/>
      <sheetName val="门窗主材计算规则"/>
      <sheetName val="钢材"/>
      <sheetName val="铝材"/>
      <sheetName val="玻璃"/>
      <sheetName val="五金配件(1)"/>
      <sheetName val="五金配件(2)"/>
      <sheetName val="五金配件(3)"/>
      <sheetName val="补充清单"/>
      <sheetName val="工程结算工作交接单"/>
      <sheetName val="结算申请报告"/>
      <sheetName val="对账单"/>
      <sheetName val="结算书汇总封面"/>
      <sheetName val="工程量汇总表"/>
      <sheetName val="13#楼"/>
      <sheetName val="13#单价分析表"/>
      <sheetName val="13#楼主材表"/>
      <sheetName val="13#楼型材米重"/>
      <sheetName val="55号楼"/>
      <sheetName val="55#楼单价"/>
      <sheetName val="56号楼"/>
      <sheetName val="56#楼单价"/>
      <sheetName val="57号楼"/>
      <sheetName val="57#楼单价"/>
      <sheetName val="55-57号楼铝板吊顶"/>
      <sheetName val="55-57铝板吊顶单价"/>
      <sheetName val="55-57主材表"/>
      <sheetName val="55-57型材米重"/>
      <sheetName val="58#楼"/>
      <sheetName val="58#楼单价分析表"/>
      <sheetName val="58#楼主材表"/>
      <sheetName val="58#楼型材米重"/>
      <sheetName val="61#楼"/>
      <sheetName val="61#楼单价分析表"/>
      <sheetName val="61主材表"/>
      <sheetName val="61型材米重"/>
      <sheetName val="会所单价分析表"/>
      <sheetName val="主材表"/>
      <sheetName val="型材米重"/>
      <sheetName val="门窗单价分析"/>
      <sheetName val="百叶单价分析"/>
      <sheetName val="护栏单价分析"/>
      <sheetName val="栏杆单价分析"/>
      <sheetName val="钢结构"/>
      <sheetName val="建筑汇总表"/>
      <sheetName val="地花 天花"/>
      <sheetName val="外墙块料"/>
      <sheetName val="外墙装饰工程量"/>
      <sheetName val="内、外墙挂网"/>
      <sheetName val="内墙抹灰、油漆、面砖"/>
      <sheetName val="内墙面"/>
      <sheetName val="屋面防水和卫生间防水"/>
      <sheetName val="卫生间"/>
      <sheetName val="天棚、楼地面（初）"/>
      <sheetName val="柱面砖"/>
      <sheetName val="楼梯栏杆及底座抛光砖"/>
      <sheetName val="楼梯栏杆及底座及花岗石"/>
      <sheetName val="钢结构计算表"/>
      <sheetName val="其他工程"/>
      <sheetName val="其它"/>
      <sheetName val="栏杆"/>
      <sheetName val="门槛"/>
      <sheetName val="门窗面积计量"/>
      <sheetName val="女儿墙"/>
      <sheetName val="楼梯抛光砖侧面"/>
      <sheetName val="夹层楼地面"/>
      <sheetName val="设备用房间ICI及踢脚线"/>
      <sheetName val="办公室ICI及踢脚线"/>
      <sheetName val="卫生间150X300瓷砖"/>
      <sheetName val="楼梯间天棚乳胶漆"/>
      <sheetName val="20宽填胶缝与25宽不锈钢装饰线"/>
      <sheetName val="门厅墙身."/>
      <sheetName val="换11台阶"/>
      <sheetName val="排水沟"/>
      <sheetName val="花岗石地面"/>
      <sheetName val="增加窗部份."/>
      <sheetName val="门窗."/>
      <sheetName val="5+7"/>
      <sheetName val="桩"/>
      <sheetName val="14+14.1柱"/>
      <sheetName val="15梁砼"/>
      <sheetName val="16+18"/>
      <sheetName val="7+17小型构件"/>
      <sheetName val="建筑零星 (2)"/>
      <sheetName val="19"/>
      <sheetName val="场地平整"/>
      <sheetName val="回填石粉"/>
      <sheetName val="内外墙挂网"/>
      <sheetName val="梁墙挂网"/>
      <sheetName val="屋面防水"/>
      <sheetName val="乳胶漆"/>
      <sheetName val="卫生间墙身-首层门厅墙身"/>
      <sheetName val="不锈钢栏杆"/>
      <sheetName val="卫生间地面-墙身-走道阳台防水-卫生间陶粒砼."/>
      <sheetName val="卫生间隔断-大理石洗手台-玻璃镜-蹲位. (2)"/>
      <sheetName val="卫生间隔断-大理石洗手台-玻璃镜-蹲位."/>
      <sheetName val="抛光砖(600×600)."/>
      <sheetName val="预埋件."/>
      <sheetName val="楼梯面层抛光砖(600×600)."/>
      <sheetName val="雨棚"/>
      <sheetName val="封面2"/>
      <sheetName val="结构工程量总表"/>
      <sheetName val="平整场地、三七灰土"/>
      <sheetName val="挖土方及回填土"/>
      <sheetName val="垫层"/>
      <sheetName val="地下室挡土墙、底板"/>
      <sheetName val="砼楼梯"/>
      <sheetName val="砼构件"/>
      <sheetName val="预制构件"/>
      <sheetName val="坡道散水"/>
      <sheetName val="钢网铺设"/>
      <sheetName val="砖基础"/>
      <sheetName val="零星砌体"/>
      <sheetName val="复核灰砂砖"/>
      <sheetName val="复核空心砖"/>
      <sheetName val="防水、泡沫板"/>
      <sheetName val="预埋铁件、植筋"/>
      <sheetName val="石材购买量统计"/>
      <sheetName val="场ര혁_x005f_x000c_"/>
      <sheetName val=""/>
      <sheetName val="5期B栋会所装饰精装修"/>
      <sheetName val="场ര혁_x005f_x005f_x005f_x000c_"/>
      <sheetName val="场ര혁_x005f_x005f_x005f_x005f_x005f_x005f_x005f_x000c_"/>
      <sheetName val="型材线密度表"/>
      <sheetName val="场ര혁_x005f_x005f_x005f_x005f_x005f_x005f_x005f_x005f_x00"/>
      <sheetName val="土建工程综合单价表"/>
      <sheetName val="土建工程综合单价组价明细表"/>
      <sheetName val="场ര혁_x000c_"/>
      <sheetName val="4301.2004ch"/>
      <sheetName val="5201.2004"/>
      <sheetName val="城花营销费用"/>
      <sheetName val="预算执行情况 (2)"/>
      <sheetName val="大表2004"/>
      <sheetName val="预算执行情况"/>
      <sheetName val="城花费用明细新"/>
      <sheetName val="城花营销费用预算"/>
      <sheetName val="大表"/>
      <sheetName val="11-12"/>
      <sheetName val="4301"/>
      <sheetName val="比较"/>
      <sheetName val="名称"/>
      <sheetName val="工程量计算书"/>
      <sheetName val="给排水工程量计算书"/>
      <sheetName val="申报汇总表"/>
      <sheetName val="累计材料供应清单"/>
      <sheetName val="甲供材料款申请表"/>
      <sheetName val="签证汇总表"/>
      <sheetName val="B地块01&amp;02清单"/>
      <sheetName val="B地块03&amp;06清单"/>
      <sheetName val="B地块公共部位清单"/>
      <sheetName val="工程报价汇总表"/>
      <sheetName val="工程量清单报价汇总表"/>
      <sheetName val="学生宿舍C8"/>
      <sheetName val="学生宿舍C9"/>
      <sheetName val="学生宿舍C10"/>
      <sheetName val="学生宿舍C11"/>
      <sheetName val="学生宿舍C12"/>
      <sheetName val="学生宿舍C13"/>
      <sheetName val="学生宿舍C14"/>
      <sheetName val="第二学生食堂C24"/>
      <sheetName val="会堂及教师活动中心"/>
      <sheetName val="艺术楼"/>
      <sheetName val="学术交流中心及外国专家楼"/>
      <sheetName val="校行政办公楼"/>
      <sheetName val="院系办公楼"/>
      <sheetName val="图书馆"/>
      <sheetName val="广外二期清单汇总表"/>
      <sheetName val="合价汇总表"/>
      <sheetName val="总包服务管理协调配合费"/>
      <sheetName val="工程预留金"/>
      <sheetName val="建筑及装饰装修工程主要材料报价表"/>
      <sheetName val="甲招乙供材料表"/>
      <sheetName val="暂定主材价格表"/>
      <sheetName val="单合价分析表"/>
      <sheetName val="自定材料价"/>
      <sheetName val="1.工程预结算内部审核备忘"/>
      <sheetName val="2.竣工结算造价协议清单"/>
      <sheetName val="6.甲方结算审核书"/>
      <sheetName val="8.结算审核汇总表"/>
      <sheetName val="结算造价汇总表"/>
      <sheetName val="签证审核汇总表"/>
      <sheetName val="签证汇总表 "/>
      <sheetName val="费用表（箱涵） (2)"/>
      <sheetName val="费用表（箱涵）"/>
      <sheetName val="计算表（箱涵）"/>
      <sheetName val="费用表（别墅）"/>
      <sheetName val="计算表（别墅）"/>
      <sheetName val="费用表（高层）"/>
      <sheetName val="计算表（高层）"/>
      <sheetName val="费用表（其它）"/>
      <sheetName val="计算表（其它）"/>
      <sheetName val="负签证汇总表"/>
      <sheetName val="高尔夫球场回填土"/>
      <sheetName val="西北角海沙回填"/>
      <sheetName val="建筑面积表"/>
      <sheetName val="三、五、七期地下室电气安装部分"/>
      <sheetName val="三、五、七期地下室给排水安装部分"/>
      <sheetName val="三期多层电气安装部分"/>
      <sheetName val="三期多层给排水安装部分"/>
      <sheetName val="三期高层电气安装部分"/>
      <sheetName val="三期高层给排水安装部分"/>
      <sheetName val="五、七期高层电气安装部分"/>
      <sheetName val="五、七期高层给排水安装部分"/>
      <sheetName val="三期63座电气安装部分"/>
      <sheetName val="三期63座给排水安装部分"/>
      <sheetName val="装修部份工程量"/>
      <sheetName val="安装部分工程量"/>
      <sheetName val="安装部分清单"/>
      <sheetName val="装修部份清单"/>
      <sheetName val="单方分析"/>
      <sheetName val="住宅电气"/>
      <sheetName val="塔楼给排水"/>
      <sheetName val="商业电气"/>
      <sheetName val="商铺给排水"/>
      <sheetName val="场ര혁_x005f_x005f_x005f_x005f_x00"/>
      <sheetName val="承台"/>
      <sheetName val="屋梁 "/>
      <sheetName val="计算表"/>
      <sheetName val="设置"/>
      <sheetName val="柱计算"/>
      <sheetName val="计算表 (园建)"/>
      <sheetName val="增加红外"/>
      <sheetName val="车库门禁"/>
      <sheetName val="电梯三方通话"/>
      <sheetName val="防雷接地"/>
      <sheetName val="内线电话"/>
      <sheetName val="门禁系统 "/>
      <sheetName val="对讲系统"/>
      <sheetName val="车场系统"/>
      <sheetName val="监控系统"/>
      <sheetName val="周界系统"/>
      <sheetName val="下拉菜单"/>
      <sheetName val="学生公寓5-9"/>
      <sheetName val="装饰工程汇总表"/>
      <sheetName val="墙柱面挂钢网"/>
      <sheetName val="铸铁格栅盖板、卫生间蹲位"/>
      <sheetName val="陶粒"/>
      <sheetName val="砼电缆沟、地沟"/>
      <sheetName val="变形缝"/>
      <sheetName val="隔热砖、天沟马赛克、广场砖"/>
      <sheetName val="水泥砂浆地面"/>
      <sheetName val="防滑砖300"/>
      <sheetName val="抛光砖600、耐磨砖"/>
      <sheetName val="超微粉抛光砖600"/>
      <sheetName val="零星面贴砖、门槛石"/>
      <sheetName val="块料楼梯面层"/>
      <sheetName val="花岗岩地面"/>
      <sheetName val="花岗岩台阶面"/>
      <sheetName val="块料地脚线"/>
      <sheetName val="砂浆地脚线"/>
      <sheetName val="梯级花岗岩挡水线"/>
      <sheetName val="不锈钢扶手栏杆"/>
      <sheetName val="不锈钢防盗网、格栅"/>
      <sheetName val="墙柱面一般抹灰"/>
      <sheetName val="235×52釉面砖"/>
      <sheetName val="200×300面砖"/>
      <sheetName val="石材窗台板"/>
      <sheetName val="天棚抹灰"/>
      <sheetName val="油漆"/>
      <sheetName val="天棚吊顶"/>
      <sheetName val="卡布隆"/>
      <sheetName val="门窗工程"/>
      <sheetName val="其他项目"/>
      <sheetName val="防水胶填缝"/>
      <sheetName val="主营业务成本明细表"/>
      <sheetName val="数据汇总表"/>
      <sheetName val="材料损耗(不打印)"/>
      <sheetName val="投标汇总表"/>
      <sheetName val="土建汇总表1-4"/>
      <sheetName val="结构清单1-4"/>
      <sheetName val="建筑清单1-4"/>
      <sheetName val="土建清单报价调整表1-4"/>
      <sheetName val="土建汇总表1-5"/>
      <sheetName val="结构清单1-5"/>
      <sheetName val="建筑清单1-5"/>
      <sheetName val="土建清单报价调整表1-5"/>
      <sheetName val="地下室开挖措施报价"/>
      <sheetName val="主要材料价格表（乙供）"/>
      <sheetName val="甲供及三方供材报价表"/>
      <sheetName val="配合费及采保费报价表"/>
      <sheetName val="零星工作及时工报价表"/>
      <sheetName val="分包工程"/>
      <sheetName val="sn"/>
      <sheetName val="承台(砖模) "/>
      <sheetName val="单价分析"/>
      <sheetName val="土建直接费"/>
      <sheetName val="安装直接费"/>
      <sheetName val="整体措施费"/>
      <sheetName val="其它措施费"/>
      <sheetName val="项目管理费用(土建)"/>
      <sheetName val="项目管理费用(安装)"/>
      <sheetName val="临电临水措施费"/>
      <sheetName val="项目成本汇总"/>
      <sheetName val="预算总表"/>
      <sheetName val="预算明细"/>
      <sheetName val="松下成品柜"/>
      <sheetName val="整体厨房"/>
      <sheetName val="预算制作明细"/>
      <sheetName val="辅材组成"/>
      <sheetName val="人工组成"/>
      <sheetName val="辅材统计"/>
      <sheetName val="主材统计"/>
      <sheetName val="成本分析表"/>
      <sheetName val="Template"/>
      <sheetName val="LC01 (2)"/>
      <sheetName val="铝材表面处理"/>
      <sheetName val="密封胶"/>
      <sheetName val="附件"/>
      <sheetName val="LC01"/>
      <sheetName val="上悬67"/>
      <sheetName val="推拉05"/>
      <sheetName val="平开门"/>
      <sheetName val="门连窗"/>
      <sheetName val="推拉门"/>
      <sheetName val="地弹簧门(无框)"/>
      <sheetName val="地弹簧门(有框)"/>
      <sheetName val="LC32"/>
      <sheetName val="LC32a"/>
      <sheetName val="TLC01"/>
      <sheetName val="LM01a"/>
      <sheetName val="LM01b"/>
      <sheetName val="TLM01a"/>
      <sheetName val="TLM01b"/>
      <sheetName val="TLM01c"/>
      <sheetName val="DHM01"/>
      <sheetName val="DYM01"/>
      <sheetName val="结算封面"/>
      <sheetName val="结算书汇总表"/>
      <sheetName val="结算书计价清单"/>
      <sheetName val="计算明细表"/>
      <sheetName val="合同清单"/>
      <sheetName val="C1"/>
      <sheetName val="C2"/>
      <sheetName val="C3改"/>
      <sheetName val="C3"/>
      <sheetName val="C4改"/>
      <sheetName val="C4"/>
      <sheetName val="C5"/>
      <sheetName val="C5&quot;"/>
      <sheetName val="C10"/>
      <sheetName val="C11"/>
      <sheetName val="C12"/>
      <sheetName val="C13"/>
      <sheetName val="C14"/>
      <sheetName val="C15"/>
      <sheetName val="C16"/>
      <sheetName val="C17"/>
      <sheetName val="C18"/>
      <sheetName val="C19"/>
      <sheetName val="C20"/>
      <sheetName val="C21"/>
      <sheetName val="C22"/>
      <sheetName val="C23"/>
      <sheetName val="C24"/>
      <sheetName val="C25改"/>
      <sheetName val="C25"/>
      <sheetName val="C26改"/>
      <sheetName val="C26"/>
      <sheetName val="C27"/>
      <sheetName val="C28"/>
      <sheetName val="C29"/>
      <sheetName val="C30"/>
      <sheetName val="C31"/>
      <sheetName val="C32"/>
      <sheetName val="C33"/>
      <sheetName val="C34"/>
      <sheetName val="C35"/>
      <sheetName val="C37"/>
      <sheetName val="C38"/>
      <sheetName val="C39"/>
      <sheetName val="C40"/>
      <sheetName val="C41"/>
      <sheetName val="C42"/>
      <sheetName val="C43"/>
      <sheetName val="C44"/>
      <sheetName val="C45"/>
      <sheetName val="C46改"/>
      <sheetName val="C46"/>
      <sheetName val="C47"/>
      <sheetName val="LC0615A"/>
      <sheetName val="LC0615"/>
      <sheetName val="LMC2124"/>
      <sheetName val="LM49"/>
      <sheetName val="LM1"/>
      <sheetName val="LM2"/>
      <sheetName val="LM3"/>
      <sheetName val="LM5"/>
      <sheetName val="3.甲方结算审核书"/>
      <sheetName val="4.结算审核汇总表"/>
      <sheetName val="中轴园建"/>
      <sheetName val="中轴安装"/>
      <sheetName val="中轴入口分段园建"/>
      <sheetName val="中轴入口分段安装"/>
      <sheetName val="北二期园建"/>
      <sheetName val="北二期园建 (2)"/>
      <sheetName val="北二期安装"/>
      <sheetName val="北二期园建 (1)"/>
      <sheetName val="季华路改造"/>
      <sheetName val="N11展示区园建"/>
      <sheetName val="N11展示区安装"/>
      <sheetName val="签证明细表"/>
      <sheetName val="报价说明"/>
      <sheetName val="P组团装修"/>
      <sheetName val="P组团样板房园建"/>
      <sheetName val="独栋给排水"/>
      <sheetName val="独栋电气"/>
      <sheetName val="主材暂定价"/>
      <sheetName val="B3板"/>
      <sheetName val="B4板"/>
      <sheetName val="B4零星"/>
      <sheetName val="编制总说明"/>
      <sheetName val="工程量清单报价表"/>
      <sheetName val="MQ1"/>
      <sheetName val="MQ2"/>
      <sheetName val="MQ3"/>
      <sheetName val="MQ4"/>
      <sheetName val="MQ5"/>
      <sheetName val="MQ6"/>
      <sheetName val="MQ7"/>
      <sheetName val="MQ8"/>
      <sheetName val="MQ9"/>
      <sheetName val="MQ10"/>
      <sheetName val="MQ11"/>
      <sheetName val="MQ12"/>
      <sheetName val="MQ13"/>
      <sheetName val="MQ14"/>
      <sheetName val="MQ15"/>
      <sheetName val="MQ16"/>
      <sheetName val="MQ17"/>
      <sheetName val="MQ18"/>
      <sheetName val="玻璃顶蓬A"/>
      <sheetName val="玻璃顶蓬B"/>
      <sheetName val="玻璃顶蓬C"/>
      <sheetName val="玻璃顶蓬D"/>
      <sheetName val="MQ1不锈钢雨篷"/>
      <sheetName val="MQ2不锈钢雨篷"/>
      <sheetName val="MQ3不锈钢雨篷"/>
      <sheetName val="MQ4不锈钢雨篷"/>
      <sheetName val="MQ5-7不锈钢雨篷"/>
      <sheetName val="MQ8不锈钢雨篷"/>
      <sheetName val="MQ9不锈钢雨篷"/>
      <sheetName val="MQ10不锈钢雨篷"/>
      <sheetName val="LBC1"/>
      <sheetName val="LBC2"/>
      <sheetName val="LBC3"/>
      <sheetName val="室外园林电气工程"/>
      <sheetName val="室外园林给排水工程"/>
      <sheetName val="泳池周边给水"/>
      <sheetName val="预算制作"/>
      <sheetName val="项目分类"/>
      <sheetName val="地面工程"/>
      <sheetName val="顶面工程"/>
      <sheetName val="水电工程"/>
      <sheetName val="拆除工程"/>
      <sheetName val="制作项目"/>
      <sheetName val="购买主材"/>
      <sheetName val="细部结构"/>
      <sheetName val="条型基础"/>
      <sheetName val="平楼板表(进度)"/>
      <sheetName val="钢筋"/>
      <sheetName val="地上土建及措施项目费"/>
      <sheetName val="材料单"/>
      <sheetName val="金御华府"/>
      <sheetName val="兰乔圣菲"/>
      <sheetName val="金域华庭"/>
      <sheetName val="瓷砖"/>
      <sheetName val="木饰面"/>
      <sheetName val="木地板"/>
      <sheetName val="软包"/>
      <sheetName val="墙纸"/>
      <sheetName val="马赛克"/>
      <sheetName val="摩恩洁具"/>
      <sheetName val="地毯"/>
      <sheetName val="乐家洁具"/>
      <sheetName val="清镜"/>
      <sheetName val="铝扣板"/>
      <sheetName val="灯具"/>
      <sheetName val="方太市场价"/>
      <sheetName val="洁具（五金）"/>
      <sheetName val="板材（木制品）"/>
      <sheetName val="零星附材"/>
      <sheetName val="欧普照明"/>
      <sheetName val="石材报价"/>
      <sheetName val="与万科谈的价钱"/>
      <sheetName val="乳胶漆与万科的合同价"/>
      <sheetName val="城花八期报价汇总表"/>
      <sheetName val="A区土建±0.00以下土建工程"/>
      <sheetName val="A区土建±0.00以上建工程"/>
      <sheetName val="B区土建工程"/>
      <sheetName val="电气"/>
      <sheetName val="给排水"/>
      <sheetName val="A区土建±0.00以下清单调整报价表"/>
      <sheetName val="A区土建±0.00以上清单调整报价表"/>
      <sheetName val="B区土建清单调整报价表"/>
      <sheetName val="电气清单调整报价表"/>
      <sheetName val="给排水清单调整报价表"/>
      <sheetName val="包干费用报价表"/>
      <sheetName val="材料耗用量表"/>
      <sheetName val="甲方、三方分包工程"/>
      <sheetName val="甲方、三方材料"/>
      <sheetName val="综合单价汇总表"/>
      <sheetName val="成本汇总 "/>
      <sheetName val="汇总清单"/>
      <sheetName val="已确定合同单价"/>
      <sheetName val="施工范围"/>
      <sheetName val="图纸目录"/>
      <sheetName val="A区硬景"/>
      <sheetName val="B、C硬景"/>
      <sheetName val="A区绿化"/>
      <sheetName val="B、C绿化"/>
      <sheetName val="A区水电 "/>
      <sheetName val="B、C水电 "/>
      <sheetName val="园建增补清单"/>
      <sheetName val="绿化增补清单"/>
      <sheetName val="优化清单"/>
      <sheetName val="零星限价"/>
      <sheetName val="外墙装饰线"/>
      <sheetName val="外墙面砖"/>
      <sheetName val="外墙喷涂"/>
      <sheetName val="表格"/>
      <sheetName val="室内装饰"/>
      <sheetName val="室内汇总"/>
      <sheetName val="装饰及汇总表 E3栋"/>
      <sheetName val="板 "/>
      <sheetName val="内墙面抹灰"/>
      <sheetName val="地面天花"/>
      <sheetName val="外墙砌体(新)"/>
      <sheetName val="内墙砌体(新)"/>
      <sheetName val="栏杆1"/>
      <sheetName val="防水工程"/>
      <sheetName val="栏杆1 (2)"/>
      <sheetName val="计算稿"/>
      <sheetName val="70户型"/>
      <sheetName val="85户型"/>
      <sheetName val="95户型"/>
      <sheetName val="B5首层大堂"/>
      <sheetName val="零星项目单价"/>
      <sheetName val="观感提升补充单价"/>
      <sheetName val="B5大堂计算稿"/>
      <sheetName val="编辑说明"/>
      <sheetName val="金域蓝湾南区园林工程(水电)"/>
      <sheetName val="给排水数据汇总"/>
      <sheetName val="电气工程量计算书"/>
      <sheetName val="电气数据汇总"/>
      <sheetName val="工程量清单（佛山战略价）"/>
      <sheetName val="工程量计算表"/>
      <sheetName val="钢结构计算"/>
      <sheetName val="C户型"/>
      <sheetName val="E户型"/>
      <sheetName val="C+C户型"/>
      <sheetName val="首层大堂二"/>
      <sheetName val="6层电梯厅及公共区域"/>
      <sheetName val="报价表"/>
      <sheetName val="分部分项工程量清单报价表(2#塔楼)"/>
      <sheetName val="工程量统计表"/>
      <sheetName val="报价表（外框16-20层）"/>
      <sheetName val="分部分项清单报价表（外框16-20层）"/>
      <sheetName val="外框工程量统计表"/>
      <sheetName val="材料"/>
      <sheetName val="YC"/>
      <sheetName val="计日工"/>
      <sheetName val="2-1"/>
      <sheetName val="2-1C"/>
      <sheetName val="2-2"/>
      <sheetName val="2-2C"/>
      <sheetName val="2-3"/>
      <sheetName val="2-3C"/>
      <sheetName val="2-4"/>
      <sheetName val="2-4C"/>
      <sheetName val="2-5"/>
      <sheetName val="2-5C"/>
      <sheetName val="2-6"/>
      <sheetName val="2-6C"/>
      <sheetName val="2-7"/>
      <sheetName val="2-7C"/>
      <sheetName val="2-8"/>
      <sheetName val="2-8C"/>
      <sheetName val="2-9"/>
      <sheetName val="2-9C"/>
      <sheetName val="2-10"/>
      <sheetName val="2-10C"/>
      <sheetName val="全幕"/>
      <sheetName val="玻幕2-1"/>
      <sheetName val="玻幕普"/>
      <sheetName val="单玻"/>
      <sheetName val="铝板"/>
      <sheetName val="百叶窗"/>
      <sheetName val="百叶顶"/>
      <sheetName val="拦板"/>
      <sheetName val="门"/>
      <sheetName val="含量"/>
      <sheetName val="材料单价"/>
      <sheetName val="演示流程"/>
      <sheetName val="摘要汇总表"/>
      <sheetName val="情况说明"/>
      <sheetName val="成本动态台帐"/>
      <sheetName val="合同台帐"/>
      <sheetName val="设计变更台帐"/>
      <sheetName val="现场签证台帐"/>
      <sheetName val="无合同费用及付款台帐"/>
      <sheetName val="待发生成本台帐"/>
      <sheetName val="兼容性报表"/>
      <sheetName val="使用说明"/>
      <sheetName val="1汇总表"/>
      <sheetName val="2措施费清单"/>
      <sheetName val="3清单计价-装饰"/>
      <sheetName val="4清单计价-水电"/>
      <sheetName val="5清单计价-空调"/>
      <sheetName val="8主材表"/>
      <sheetName val="9经济指标分析"/>
      <sheetName val="03定额库"/>
      <sheetName val="94定额库"/>
      <sheetName val="清单库"/>
      <sheetName val="Grand Summary"/>
      <sheetName val="GCFA &amp; Ele."/>
      <sheetName val="Staircase Qty."/>
      <sheetName val="Fl. &amp; Ceil. Fin. Qty."/>
      <sheetName val="Fl. &amp; Ceil. Fin. Qty.(Build-up)"/>
      <sheetName val="Wl. Fin.(Build-up)"/>
      <sheetName val="Ext. Fin."/>
      <sheetName val="Int. Part. &amp; Dr."/>
      <sheetName val="San. Fit."/>
      <sheetName val="甲供料表"/>
      <sheetName val="承台(木模)"/>
      <sheetName val="砖墙"/>
      <sheetName val="门窗表"/>
      <sheetName val="A8独立基础 "/>
      <sheetName val="道路土方"/>
      <sheetName val="雨水土方 "/>
      <sheetName val="给水土方"/>
      <sheetName val="污水土方"/>
      <sheetName val="护坡"/>
      <sheetName val="土方计算表说明"/>
      <sheetName val="IYNPPN"/>
      <sheetName val="室内装饰部分"/>
      <sheetName val="阳台装饰部分"/>
      <sheetName val="室内安装部分"/>
      <sheetName val="阳台安装部分 "/>
      <sheetName val="主材报价表"/>
      <sheetName val="新版"/>
      <sheetName val="旧版"/>
      <sheetName val="装饰清单报价"/>
      <sheetName val="11栋首层安装"/>
      <sheetName val="11栋首层安装变更"/>
      <sheetName val="21栋3层安装"/>
      <sheetName val="南北大门安装部分"/>
      <sheetName val="其他费用"/>
      <sheetName val="主材差异分析表"/>
      <sheetName val="成本测算"/>
      <sheetName val="总经济技术指标"/>
      <sheetName val="配套公建一览表"/>
      <sheetName val="双限房区楼坐明细"/>
      <sheetName val="商品房区明细表"/>
      <sheetName val="双限房"/>
      <sheetName val="廉租房"/>
      <sheetName val="多层"/>
      <sheetName val="叠拼"/>
      <sheetName val="地下车库"/>
      <sheetName val="首层面积"/>
      <sheetName val="配电室"/>
      <sheetName val="总量"/>
      <sheetName val="氟中"/>
      <sheetName val="氟L"/>
      <sheetName val="氟窗"/>
      <sheetName val="氟L窗"/>
      <sheetName val="氟L门"/>
      <sheetName val="氟门"/>
      <sheetName val="粉门"/>
      <sheetName val="粉窗"/>
      <sheetName val="钢构"/>
      <sheetName val="表1.1"/>
      <sheetName val="表1.2"/>
      <sheetName val="表1.3"/>
      <sheetName val="表1.4"/>
      <sheetName val="表1.5"/>
      <sheetName val="表1.6"/>
      <sheetName val="表1.7"/>
      <sheetName val="表1.8"/>
      <sheetName val="表1.9"/>
      <sheetName val="表1.10"/>
      <sheetName val="表1.11"/>
      <sheetName val="表1.12"/>
      <sheetName val="表1.13"/>
      <sheetName val="表1.14"/>
      <sheetName val="表1.15"/>
      <sheetName val="表1.16"/>
      <sheetName val="表2.1"/>
      <sheetName val="表2.2"/>
      <sheetName val="表2.3"/>
      <sheetName val="表2.4"/>
      <sheetName val="表2.5"/>
      <sheetName val="表2.6"/>
      <sheetName val="表2.7"/>
      <sheetName val="表2.8"/>
      <sheetName val="表2.9"/>
      <sheetName val="表2.10"/>
      <sheetName val="表2.11"/>
      <sheetName val="表2.12"/>
      <sheetName val="表2.13"/>
      <sheetName val="表2.14"/>
      <sheetName val="表2.15"/>
      <sheetName val="表2.16"/>
      <sheetName val="表2.17"/>
      <sheetName val="表2.18"/>
      <sheetName val="表2.19"/>
      <sheetName val="表2.20"/>
      <sheetName val="表2.21"/>
      <sheetName val="表2.22"/>
      <sheetName val="表2.23"/>
      <sheetName val="表2.24"/>
      <sheetName val="表2.25"/>
      <sheetName val="表2.26"/>
      <sheetName val="表2.27"/>
      <sheetName val="表2.28"/>
      <sheetName val="表2.29"/>
      <sheetName val="表2.30"/>
      <sheetName val="表2.31"/>
      <sheetName val="表2.32"/>
      <sheetName val="表2.33"/>
      <sheetName val="表2.34"/>
      <sheetName val="表2.35"/>
      <sheetName val="表2.36"/>
      <sheetName val="表2.37"/>
      <sheetName val="表2.38"/>
      <sheetName val="表2.39"/>
      <sheetName val="表2.40"/>
      <sheetName val="计划"/>
      <sheetName val="销售收入"/>
      <sheetName val="成本表--持有物业"/>
      <sheetName val="成本表--销售物业"/>
      <sheetName val="酒店成本"/>
      <sheetName val="单体建安造价--持有物业"/>
      <sheetName val="单体建安造价--销售物业"/>
      <sheetName val="单体综合造价--持有物业"/>
      <sheetName val="单体综合造价--销售物业"/>
      <sheetName val="市政配套"/>
      <sheetName val="人工湖"/>
      <sheetName val="销售物业单体建安造价指标表"/>
      <sheetName val="材料名称标准表"/>
      <sheetName val="与萝岗项目的区别"/>
      <sheetName val="调价说明（二）"/>
      <sheetName val="预估造价及总造价"/>
      <sheetName val="调价说明"/>
      <sheetName val="项目间接费明细表 "/>
      <sheetName val="项目成本分析汇总 "/>
      <sheetName val="工程量清汇总单分析表"/>
      <sheetName val="开办费1"/>
      <sheetName val="开办费2"/>
      <sheetName val="临时大堂及夹板门清单"/>
      <sheetName val="加建部分"/>
      <sheetName val="一期（公共）"/>
      <sheetName val="一期（户型）"/>
      <sheetName val="二期（公共）"/>
      <sheetName val="二期（户型）"/>
      <sheetName val="三期（户型）"/>
      <sheetName val="三期（公共）"/>
      <sheetName val="1、投标总价"/>
      <sheetName val="2、编制说明 "/>
      <sheetName val="3、汇总表"/>
      <sheetName val="4、B5层精装清单"/>
      <sheetName val="5、B4层精装清单 "/>
      <sheetName val="6、B3层精装清单 "/>
      <sheetName val="7、B2层精装清单"/>
      <sheetName val="8、B1-L1大堂精装清单 "/>
      <sheetName val="9、L3层精装清单 "/>
      <sheetName val="10、L4F男卫精装清单"/>
      <sheetName val="11、底区标准层精装清单（6-14F）"/>
      <sheetName val="12、高区标准层精装清单（L44F)"/>
      <sheetName val="13、高区标准层精装清单（L45-52F) "/>
      <sheetName val="14、高区标准层精装清单（L53F)"/>
      <sheetName val="15、高区标准层精装清单（L54、56F) "/>
      <sheetName val="16、高区标准层精装清单（L55F)"/>
      <sheetName val="17、高区标准层精装清单（L57-61F)"/>
      <sheetName val="20、甲供主要材料表 "/>
      <sheetName val="21、乙供主要材料表"/>
      <sheetName val="18、安装专业 "/>
      <sheetName val="19、附属报价"/>
      <sheetName val="8、B1-L1大堂精装清单 ok (2)"/>
      <sheetName val="汇总表ok"/>
      <sheetName val="分部表ok"/>
      <sheetName val="大堂分析1"/>
      <sheetName val="大堂分析2"/>
      <sheetName val="标准层分析1"/>
      <sheetName val="标准层分析2"/>
      <sheetName val="安装专业分析1"/>
      <sheetName val="安装专业分析2"/>
      <sheetName val="8、B1-L1大堂精装清单 ok"/>
      <sheetName val="11、底区标准层精装清单（6-14F）ok"/>
      <sheetName val="13、高区标准层精装清单（L45-52F) ok"/>
      <sheetName val="2006年10月"/>
      <sheetName val="岗亭大门"/>
      <sheetName val="15#楼旁大门"/>
      <sheetName val="外围墙栏杆"/>
      <sheetName val="下沉庭院栏杆"/>
      <sheetName val="别墅入户门"/>
      <sheetName val="16#-19#楼架空层栏杆"/>
      <sheetName val="消防楼梯栏杆"/>
      <sheetName val="目标成本审批"/>
      <sheetName val="二期规划指标"/>
      <sheetName val="控规描述"/>
      <sheetName val="全C指标"/>
      <sheetName val="G02+G03"/>
      <sheetName val="利润测算表"/>
      <sheetName val="成本汇总"/>
      <sheetName val="地价分摊"/>
      <sheetName val="G02+G03跨期分摊"/>
      <sheetName val="六类公摊"/>
      <sheetName val="跨期成本分摊表"/>
      <sheetName val="G02复式小高层"/>
      <sheetName val="G03平层小高层"/>
      <sheetName val="G02复式高层"/>
      <sheetName val="G03平层高层"/>
      <sheetName val="G03超高层"/>
      <sheetName val="G02洋房"/>
      <sheetName val="G02底商"/>
      <sheetName val="G03底商"/>
      <sheetName val="车库"/>
      <sheetName val="G04G07G08规划指标"/>
      <sheetName val="C市政代建"/>
      <sheetName val="G02G03优化讨论"/>
      <sheetName val="填表指引"/>
      <sheetName val="外墙装修"/>
      <sheetName val="外墙挂网"/>
      <sheetName val="滴水线"/>
      <sheetName val="工程量清单"/>
      <sheetName val="新增项目费率计价表"/>
      <sheetName val="签证项目单价表"/>
      <sheetName val="底稿"/>
      <sheetName val="1.工程结算审批表"/>
      <sheetName val="结算计算书"/>
      <sheetName val="538966"/>
      <sheetName val="381510"/>
      <sheetName val="负签证明细"/>
      <sheetName val="总说明"/>
      <sheetName val="安装说明"/>
      <sheetName val="5~8#楼住宅土建清单"/>
      <sheetName val="开闭所 土建清单"/>
      <sheetName val="配电房土建清单"/>
      <sheetName val="幼儿园土建清单"/>
      <sheetName val="地下室二标土建清单"/>
      <sheetName val="5~8#楼住宅安装清单 "/>
      <sheetName val="幼儿园安装清单"/>
      <sheetName val="地下室二标段安装清单"/>
      <sheetName val="措施费清单"/>
      <sheetName val="总承包服务费"/>
      <sheetName val="暂列金额"/>
      <sheetName val="暂定工程量清单项"/>
      <sheetName val="可调材料价格表"/>
      <sheetName val="车库和住宅连接费用测算"/>
      <sheetName val="优化方案费用测算"/>
      <sheetName val="车库移位的费用测算"/>
      <sheetName val="建3个车库的费用测算"/>
      <sheetName val="09年经营计划和目标成本对比"/>
      <sheetName val="面积指标简表"/>
      <sheetName val="调整费用明细"/>
      <sheetName val="土地及大配套总额"/>
      <sheetName val="土地及大配套 分摊明细"/>
      <sheetName val="前期费用汇总表"/>
      <sheetName val="平层建安汇总"/>
      <sheetName val="跃层建安汇总"/>
      <sheetName val="车库建安汇总"/>
      <sheetName val="人防建安汇总"/>
      <sheetName val="公共部位装修汇总"/>
      <sheetName val="用电负荷估算表"/>
      <sheetName val="电梯明细表"/>
      <sheetName val="指标变化对比表"/>
      <sheetName val="指标变化对比表 (上市)"/>
      <sheetName val="成本变化指标对比表"/>
      <sheetName val="成本变化指标对比表 (2)"/>
      <sheetName val="项目总表"/>
      <sheetName val="进度计划"/>
      <sheetName val="项目财务指标 (含筹资)"/>
      <sheetName val="改动说明"/>
      <sheetName val="会计利润"/>
      <sheetName val="管理利润"/>
      <sheetName val="现金流"/>
      <sheetName val="现金流1"/>
      <sheetName val="待转化-利润贡献"/>
      <sheetName val="待转化-13年利润锁定"/>
      <sheetName val="土增新"/>
      <sheetName val="土增"/>
      <sheetName val="资本化利息"/>
      <sheetName val="资本化利息基础表"/>
      <sheetName val="会计毛利"/>
      <sheetName val="管理毛利"/>
      <sheetName val="销售周期表"/>
      <sheetName val="贷款明细表"/>
      <sheetName val="总额对比"/>
      <sheetName val="一期单方对比"/>
      <sheetName val="工程付款计划"/>
      <sheetName val="开发节奏"/>
      <sheetName val="指标对比(与责任书版)"/>
      <sheetName val="会计利润简表"/>
      <sheetName val="现金流简表"/>
      <sheetName val="13年融资计划"/>
      <sheetName val="14年融资计划"/>
      <sheetName val="15年融资计划"/>
      <sheetName val="16年融资计划"/>
      <sheetName val="销售简表"/>
      <sheetName val="跃层建安费"/>
      <sheetName val="综合指标表"/>
      <sheetName val="项目配置标准表"/>
      <sheetName val="17年融资计划"/>
      <sheetName val="13年融资费用"/>
      <sheetName val="14年融资费用"/>
      <sheetName val="15年融资费用"/>
      <sheetName val="16年融资费用"/>
      <sheetName val="17年融资费用"/>
      <sheetName val="地上汇总简表"/>
      <sheetName val="综合指标表 (2)"/>
      <sheetName val="项目配置标准表-新"/>
      <sheetName val="产品配置标准"/>
      <sheetName val="拟应用的集采情况"/>
      <sheetName val="与启动会版对比"/>
      <sheetName val="与方案版对比"/>
      <sheetName val="与责任书版对比"/>
      <sheetName val="一期住宅成本明细表"/>
      <sheetName val="二期住宅成本明细表"/>
      <sheetName val="三期住宅成本明细表"/>
      <sheetName val="四期住宅成本明细表"/>
      <sheetName val="一期车库成本明细表"/>
      <sheetName val="7期人防成本明细表 "/>
      <sheetName val="前期费"/>
      <sheetName val="外檐材质变化对比表"/>
      <sheetName val="二期车库成本明细表"/>
      <sheetName val="三期车库成本明细表"/>
      <sheetName val="四期车库成本明细表"/>
      <sheetName val="公寓建安分析表"/>
      <sheetName val="花园洋房"/>
      <sheetName val="公共部位装修预算"/>
      <sheetName val="消防"/>
      <sheetName val="智能化 "/>
      <sheetName val="环境"/>
      <sheetName val="项目财务指标(不含筹资）"/>
      <sheetName val="设计费测算表"/>
      <sheetName val="样板间预算"/>
      <sheetName val="基础单价测算"/>
      <sheetName val="基础深度统计表"/>
      <sheetName val="消防测算"/>
      <sheetName val="景观汇总表"/>
      <sheetName val="智能化测算"/>
      <sheetName val="电梯明细表测算"/>
      <sheetName val="样板房装修测算表"/>
      <sheetName val="公共部位精装修测算表"/>
      <sheetName val="照母山会所精装成本估算"/>
      <sheetName val="一期联排建安地上部分分析表 "/>
      <sheetName val="联排建安地上部分分析表"/>
      <sheetName val="一期联排地下室建安分析表"/>
      <sheetName val="联排地下室建安分析表"/>
      <sheetName val="一期联排地下车库建安分析表 "/>
      <sheetName val="联排地下车库建安分析表"/>
      <sheetName val="联排建安分析表"/>
      <sheetName val="一期双拼改独栋建安分析表"/>
      <sheetName val="双拼改独栋建安分析表"/>
      <sheetName val="洋房建安分析表"/>
      <sheetName val="洋房地下室建安分析表"/>
      <sheetName val="高层建安费一期"/>
      <sheetName val="高层建安费 (2)"/>
      <sheetName val="高层建安费-二期 "/>
      <sheetName val="高层建安费-二三四期"/>
      <sheetName val="会所建安费"/>
      <sheetName val="一期商业建安费 "/>
      <sheetName val="二期商业建安费"/>
      <sheetName val="商业建安费  "/>
      <sheetName val="商业建安费 "/>
      <sheetName val="一期高层架空层建安费 "/>
      <sheetName val="一期高层车库建安费"/>
      <sheetName val="高层车库建安费"/>
      <sheetName val="公用配套设施"/>
      <sheetName val="公配分摊明细"/>
      <sheetName val="幼儿园成本明细表"/>
      <sheetName val="公共景观"/>
      <sheetName val="铁路加盖测算表"/>
      <sheetName val="管理费用2013"/>
      <sheetName val="销售费用2013"/>
      <sheetName val="管理费用新"/>
      <sheetName val="销售费用新"/>
      <sheetName val="管理费用2014"/>
      <sheetName val="开发间接费"/>
      <sheetName val="清单1"/>
      <sheetName val="TEMP"/>
      <sheetName val="基本设置"/>
      <sheetName val="销售计划"/>
      <sheetName val="成本0601"/>
      <sheetName val="2011年入职"/>
      <sheetName val="志刚1司龄"/>
      <sheetName val="学历"/>
      <sheetName val="Sheet18"/>
      <sheetName val="新职级汇总"/>
      <sheetName val="首钢在职人员信息"/>
      <sheetName val="补充医疗人数2013"/>
      <sheetName val="首钢离职人员信息"/>
      <sheetName val="首钢人员变动"/>
      <sheetName val="首钢在职人员信息 (2)"/>
      <sheetName val="年龄"/>
      <sheetName val="2011.10员工培训"/>
      <sheetName val="2012年体检E级"/>
      <sheetName val="研发平均年龄2012.4.24"/>
      <sheetName val="Sheet19"/>
      <sheetName val="合院"/>
      <sheetName val="联排"/>
      <sheetName val="洋房"/>
      <sheetName val="车位"/>
      <sheetName val="49地块汇总"/>
      <sheetName val="XXXXX"/>
      <sheetName val="1-6月客戶數"/>
      <sheetName val="預算目標"/>
      <sheetName val="签约"/>
      <sheetName val="销控制3#"/>
      <sheetName val="销控5#"/>
      <sheetName val="销控11#"/>
      <sheetName val="破底认购台帐"/>
      <sheetName val="协议状态客户明细"/>
      <sheetName val="换房明细表"/>
      <sheetName val="退房明细表"/>
      <sheetName val="开发节凑"/>
      <sheetName val="绿化"/>
      <sheetName val="景观"/>
      <sheetName val="面积统计表"/>
      <sheetName val="销售计划（财务）"/>
      <sheetName val="开发节奏表"/>
      <sheetName val="分期指标汇总表"/>
      <sheetName val="付款计划"/>
      <sheetName val="水平区"/>
      <sheetName val="子管理区"/>
      <sheetName val="干线区"/>
      <sheetName val="主管理区"/>
      <sheetName val="材料报价单"/>
      <sheetName val="辅助材料报价单"/>
      <sheetName val="总报价单"/>
      <sheetName val="自用材料报价单"/>
      <sheetName val="B&amp;P"/>
      <sheetName val="经营计划审批表"/>
      <sheetName val="月报综述"/>
      <sheetName val="会计利润 (土评-孔)"/>
      <sheetName val="销售计划-检验"/>
      <sheetName val="工程付款汇总表"/>
      <sheetName val="工程款总明细表"/>
      <sheetName val="销售费用"/>
      <sheetName val="费用预测"/>
      <sheetName val="税款"/>
      <sheetName val="其他收支表"/>
      <sheetName val="利息资本化"/>
      <sheetName val="会计毛利 (土评-孔)"/>
      <sheetName val="利息资本化基础数据"/>
      <sheetName val="土地增值税测算"/>
      <sheetName val="其他收支"/>
      <sheetName val="指标汇总"/>
      <sheetName val="土地增值税"/>
      <sheetName val="土评（孔）"/>
      <sheetName val="开发间接费表"/>
      <sheetName val="科目明细表"/>
      <sheetName val="车库建安费"/>
      <sheetName val="人防建安费 "/>
      <sheetName val="面积明细表"/>
      <sheetName val="售价"/>
      <sheetName val="与九期独栋对比分析表"/>
      <sheetName val="与九期联排对比分析表"/>
      <sheetName val="与经营计划对比表"/>
      <sheetName val="地上可售工程建造成本审批表（新）"/>
      <sheetName val="项目设计指标及配置标准表（新）"/>
      <sheetName val="项目配置标准表（旧)"/>
      <sheetName val="住宅审批表（旧）"/>
      <sheetName val="住宅成本明细表"/>
      <sheetName val="车库成本明细表"/>
      <sheetName val="7期幼儿园成本明细表"/>
      <sheetName val="类独建安分析表"/>
      <sheetName val="产品标准统计表"/>
      <sheetName val="联排建安分析表1"/>
      <sheetName val="双拼建安分析表"/>
      <sheetName val="小独栋建安分析表"/>
      <sheetName val="高层建安费"/>
      <sheetName val="公配分摊表"/>
      <sheetName val="石材的价格"/>
      <sheetName val="安装费"/>
      <sheetName val="资产负债表"/>
      <sheetName val="融资财务费用"/>
      <sheetName val="持有物业"/>
      <sheetName val="累计付款情况"/>
      <sheetName val="土地使用费"/>
      <sheetName val="土地评估增值及商誉"/>
      <sheetName val="预计资产负债"/>
      <sheetName val="资产负债变动"/>
      <sheetName val="公司NAV"/>
      <sheetName val="10年经营计划审批表"/>
      <sheetName val="科目余额表"/>
      <sheetName val="融资计划表"/>
      <sheetName val="关键往来明细1"/>
      <sheetName val="售价涨幅表"/>
      <sheetName val="关键往来明细"/>
      <sheetName val="利润比较表"/>
      <sheetName val="待转化简表"/>
      <sheetName val="待转化"/>
      <sheetName val="下半年新增（10年竣工项目）"/>
      <sheetName val="11年销售"/>
      <sheetName val="10-11年利润实现统计表"/>
      <sheetName val="新增销售情况"/>
      <sheetName val="10-11年利润实现统计表 (2)"/>
      <sheetName val="11年入住项目简表"/>
      <sheetName val="管理费用简表"/>
      <sheetName val="年初版利润表"/>
      <sheetName val="4月董事会版（剔除6期商业）"/>
      <sheetName val="5月月报"/>
      <sheetName val="2011管理费用预算"/>
      <sheetName val="截止10月底10年利润实现情况"/>
      <sheetName val="利润情况（2010、2011分解）"/>
      <sheetName val="毛利"/>
      <sheetName val="管理费用1"/>
      <sheetName val="10年各期结转情况对比"/>
      <sheetName val="11年各期结转情况对比"/>
      <sheetName val="财务费用对比"/>
      <sheetName val="销售费用对比"/>
      <sheetName val="管理费用对比"/>
      <sheetName val="税金对比"/>
      <sheetName val="现金流对比"/>
      <sheetName val="管理费用2011"/>
      <sheetName val="8-12纯新增"/>
      <sheetName val="融资计划表11"/>
      <sheetName val="11年财务费用"/>
      <sheetName val="土地分摊"/>
      <sheetName val="费用分类"/>
      <sheetName val="附表2"/>
      <sheetName val="附表3"/>
      <sheetName val="附表4"/>
      <sheetName val="附表5"/>
      <sheetName val="附表6"/>
      <sheetName val="附表7"/>
      <sheetName val="附表8"/>
      <sheetName val="附表9"/>
      <sheetName val="附件 (2)"/>
      <sheetName val="3_12"/>
      <sheetName val="3_12 (2)"/>
      <sheetName val="监控配置 (2)"/>
      <sheetName val="3_29"/>
      <sheetName val="422"/>
      <sheetName val="配置比较"/>
      <sheetName val="报价比较"/>
      <sheetName val="增减"/>
      <sheetName val="报价比较 (2)"/>
      <sheetName val="监控图"/>
      <sheetName val="报警配置"/>
      <sheetName val="报警配置 (2)"/>
      <sheetName val="报警图"/>
      <sheetName val="报警图426"/>
      <sheetName val="联网图426"/>
      <sheetName val="监控516"/>
      <sheetName val="附件516"/>
      <sheetName val="单位"/>
      <sheetName val="基础T接头"/>
      <sheetName val="CD"/>
      <sheetName val="装饰主材表"/>
      <sheetName val="计算书 "/>
      <sheetName val="计算书（汇总）"/>
      <sheetName val="计算书（序号）"/>
      <sheetName val="团泊别墅-清单 (110112)"/>
      <sheetName val="问题"/>
      <sheetName val="团泊别墅-清单 (110112) (2)"/>
      <sheetName val="计算书（序号） (新)"/>
      <sheetName val="主要材料表 (10.10.19)"/>
      <sheetName val="3.6m公寓"/>
      <sheetName val="3.6m公寓数据来源"/>
      <sheetName val="高层清单"/>
      <sheetName val="A类高层"/>
      <sheetName val="A类高层数据"/>
      <sheetName val="法式联排"/>
      <sheetName val="法式联排数据来源"/>
      <sheetName val="别墅清单"/>
      <sheetName val="高层下商业 不带转换层"/>
      <sheetName val="高层下商业 不带转换层数据来源"/>
      <sheetName val="高层区 不带人防车库"/>
      <sheetName val="高层区 不带人防车库数据来源"/>
      <sheetName val="英式联排"/>
      <sheetName val="英式联排数据来源"/>
      <sheetName val="土建工程量清单使用范围"/>
      <sheetName val="小高层措施清单"/>
      <sheetName val="高层措施清单"/>
      <sheetName val="超高层措施清单"/>
      <sheetName val="办公楼1措施清单"/>
      <sheetName val="办公楼2措施清单"/>
      <sheetName val="独立商业、办公楼措施清单"/>
      <sheetName val="学校、幼儿园措施清单"/>
      <sheetName val="除别墅外下方裙房商业措施清单"/>
      <sheetName val="别墅下裙房商业措施清单"/>
      <sheetName val="别墅措施清单"/>
      <sheetName val="花园洋房措施清单"/>
      <sheetName val="别墅下地下室、地下车库措施清单"/>
      <sheetName val="除别墅外下方地下室、地下车库措施清单"/>
      <sheetName val="下浮比例报价表"/>
      <sheetName val="联络单"/>
      <sheetName val="报告目录"/>
      <sheetName val="与预算分析说明"/>
      <sheetName val="与去年分析说明"/>
      <sheetName val="损益汇总当月"/>
      <sheetName val="损益累计汇总"/>
      <sheetName val="管理损益当月"/>
      <sheetName val="管理损益累计"/>
      <sheetName val="产品别损益(自当)"/>
      <sheetName val="产品别损益(调拨)"/>
      <sheetName val="产品别损益(全当)"/>
      <sheetName val="产品别损益(自累)"/>
      <sheetName val="产品别损益(全累)"/>
      <sheetName val="低价面边际贡献（当月）"/>
      <sheetName val="低价面过际贡献（累计"/>
      <sheetName val="地区别损益当月-1"/>
      <sheetName val="地区别损益当月-2"/>
      <sheetName val="地区别损益累计-1"/>
      <sheetName val="地区别损益累计-2"/>
      <sheetName val="销售数量分析 "/>
      <sheetName val="销售金额分析"/>
      <sheetName val="毛利价量差分析(新)"/>
      <sheetName val="毛利价量差分析(当月"/>
      <sheetName val="产品别材料价量差"/>
      <sheetName val="原材料材料价量差"/>
      <sheetName val="制造费用比较表 "/>
      <sheetName val="生产部门别制造费用分析 "/>
      <sheetName val="制造费用差异分析"/>
      <sheetName val="部门别制造费用差异分析"/>
      <sheetName val="产成品单箱成本 "/>
      <sheetName val="粉包单成本"/>
      <sheetName val="酱包单成本"/>
      <sheetName val="PSP碗单箱制造费用分析"/>
      <sheetName val="纸箱单箱制造费用分析"/>
      <sheetName val="水电价量差"/>
      <sheetName val="销售费用7"/>
      <sheetName val="部门别销售费用7"/>
      <sheetName val="销售费用差异分析"/>
      <sheetName val="运输费用7"/>
      <sheetName val="促销费用明细"/>
      <sheetName val="管理费用比较表"/>
      <sheetName val="部门别管理费用"/>
      <sheetName val="管理费用差异分析"/>
      <sheetName val="其他业务收支"/>
      <sheetName val="营业外收支"/>
      <sheetName val="每日C02年费用"/>
      <sheetName val="重庆"/>
      <sheetName val="关键节点表"/>
      <sheetName val="关键节点表及年度是施工面积统计"/>
      <sheetName val="封面--12#"/>
      <sheetName val="说明--12#"/>
      <sheetName val="汇总表--12#"/>
      <sheetName val="12#措施"/>
      <sheetName val="5.17清单--12#"/>
      <sheetName val="单价组价"/>
      <sheetName val="1#楼SOHO单价组价"/>
      <sheetName val="日报11-30"/>
      <sheetName val="日报12-1"/>
      <sheetName val="日报12-2"/>
      <sheetName val="日报12-3"/>
      <sheetName val="日报12-4"/>
      <sheetName val="日报12-5"/>
      <sheetName val="日报12-6"/>
      <sheetName val="日报12-7"/>
      <sheetName val="日报12-8"/>
      <sheetName val="日报12-9"/>
      <sheetName val="日报12-10"/>
      <sheetName val="日报12-11"/>
      <sheetName val="1-员工花名册"/>
      <sheetName val="2-入职"/>
      <sheetName val="3-内部异动"/>
      <sheetName val="转正"/>
      <sheetName val="4-离职"/>
      <sheetName val="12.1离职"/>
      <sheetName val="12.2离职"/>
      <sheetName val="12.3"/>
      <sheetName val="12.3离职"/>
      <sheetName val="12.4离职"/>
      <sheetName val="新物业花名册"/>
      <sheetName val="帝凡德"/>
      <sheetName val="协平海逸34期"/>
      <sheetName val="嘉泽派遣融公馆"/>
      <sheetName val="14.3离职"/>
      <sheetName val="14.2离职"/>
      <sheetName val="14.1离职"/>
      <sheetName val="13.12离职"/>
      <sheetName val="13.11离职"/>
      <sheetName val="13.10离职"/>
      <sheetName val="13.09离职"/>
      <sheetName val="13.08离职"/>
      <sheetName val="13.07离职"/>
      <sheetName val="13.06离职"/>
      <sheetName val="13.05离职"/>
      <sheetName val="13.04离职"/>
      <sheetName val="13.03离职"/>
      <sheetName val="13.02离职"/>
      <sheetName val="13.01离职"/>
      <sheetName val="保安派遣"/>
      <sheetName val="12.5离职"/>
      <sheetName val="12.6离职"/>
      <sheetName val="12.7离职"/>
      <sheetName val="12.8离职"/>
      <sheetName val="12.9离职"/>
      <sheetName val="12.10离职"/>
      <sheetName val="12.11离职"/>
      <sheetName val="12.12离职"/>
      <sheetName val="12.31"/>
      <sheetName val="1.1"/>
      <sheetName val="1.2"/>
      <sheetName val="1.3"/>
      <sheetName val="1.4"/>
      <sheetName val="1.5"/>
      <sheetName val="1.6"/>
      <sheetName val="1.7"/>
      <sheetName val="1.8"/>
      <sheetName val="1.9"/>
      <sheetName val="1.10"/>
      <sheetName val="1.11"/>
      <sheetName val="1.12"/>
      <sheetName val="1.13"/>
      <sheetName val="1.14"/>
      <sheetName val="1.15"/>
      <sheetName val="1.16"/>
      <sheetName val="1.17"/>
      <sheetName val="1.18"/>
      <sheetName val="1.19"/>
      <sheetName val="1.21"/>
      <sheetName val="1.22"/>
      <sheetName val="1.23"/>
      <sheetName val="1.24"/>
      <sheetName val="1.25"/>
      <sheetName val="1.26"/>
      <sheetName val="1.27"/>
      <sheetName val="1.28"/>
      <sheetName val="按时间回款"/>
      <sheetName val="协议（非工抵）"/>
      <sheetName val="总表—回款合同额按天排"/>
      <sheetName val="协议（工抵）"/>
      <sheetName val="合同续付"/>
      <sheetName val="合同借款"/>
      <sheetName val="银行在途"/>
      <sheetName val="5月回款明细"/>
      <sheetName val="4月合同额已算"/>
      <sheetName val="当月回款明细"/>
      <sheetName val="5月合同额已算"/>
      <sheetName val="合同工抵"/>
      <sheetName val="合同工抵退款"/>
      <sheetName val="罗乐"/>
      <sheetName val="谈闵"/>
      <sheetName val="朱秀伟"/>
      <sheetName val="马云"/>
      <sheetName val="吴兆洋"/>
      <sheetName val="崔凯"/>
      <sheetName val="别墅"/>
      <sheetName val="Sheet25"/>
      <sheetName val="上报法务"/>
      <sheetName val="罚款明细"/>
      <sheetName val="车位意向金"/>
      <sheetName val="解抵押清单"/>
      <sheetName val="协议在途分析"/>
      <sheetName val="合同欠款"/>
      <sheetName val="回款统计总表"/>
      <sheetName val="6#借款10月.11月明细"/>
      <sheetName val="9回款"/>
      <sheetName val="10月回款"/>
      <sheetName val="11月回款"/>
      <sheetName val="12月回款"/>
      <sheetName val="2012年1月回款"/>
      <sheetName val="2012年2月回款"/>
      <sheetName val="叠拼2011年回款明细"/>
      <sheetName val="叠拼2012年1月回款明细"/>
      <sheetName val="2012年3月回款 "/>
      <sheetName val="叠拼2012年2月回款明细"/>
      <sheetName val="商业2011年借款明细"/>
      <sheetName val="商业2012年1月借款明细"/>
      <sheetName val="2012年4月回款 "/>
      <sheetName val="叠拼2012年3月回款明细"/>
      <sheetName val="商业2012年2月借款明细"/>
      <sheetName val="2012年5月回款"/>
      <sheetName val="叠拼2012年4月回款明细"/>
      <sheetName val="商业2012年3月借款明细"/>
      <sheetName val="一期高层2012年12月回款"/>
      <sheetName val="一期高层2012年11月回款"/>
      <sheetName val="一期高层2012年10月回款"/>
      <sheetName val="一期高层2012年9月回款"/>
      <sheetName val="一期高层2012年8月回款"/>
      <sheetName val="一期高层2012年7月回款"/>
      <sheetName val="2012年6月回款"/>
      <sheetName val="叠拼2012年5月回款明细"/>
      <sheetName val="叠拼2012年12月回款明细"/>
      <sheetName val="叠拼2012年11月回款明细"/>
      <sheetName val="叠拼2012年10月回款明细"/>
      <sheetName val="叠拼2012年9月回款明细"/>
      <sheetName val="叠拼2012年8月回款明细"/>
      <sheetName val="叠拼2012年7月回款明细"/>
      <sheetName val="叠拼2012年6月回款明细"/>
      <sheetName val="商业2012年5月借款明细"/>
      <sheetName val="一期高层2013年8月回款"/>
      <sheetName val="一期高层2013年6月回款"/>
      <sheetName val="一期高层2013年5月回款"/>
      <sheetName val="一期高层2013年4月回款"/>
      <sheetName val="一期高层2013年3月回款"/>
      <sheetName val="一期高层2013年2月回款"/>
      <sheetName val="一期高层2013年1月回款"/>
      <sheetName val="商业2012年12月回款明细"/>
      <sheetName val="叠拼2013年2月回款明细"/>
      <sheetName val="叠拼2013年1月回款明细"/>
      <sheetName val="一期高层2013年9月回款"/>
      <sheetName val="一期高层2014年5月回款"/>
      <sheetName val="叠拼2013年6月回款明细"/>
      <sheetName val="叠拼2013年5月回款明细"/>
      <sheetName val="叠拼2013年4月回款明细"/>
      <sheetName val="叠拼2013年3月回款明细"/>
      <sheetName val="商业2013年8月回款明细"/>
      <sheetName val="叠拼2013年9月回款明细"/>
      <sheetName val="叠拼2014年5月回款明细"/>
      <sheetName val="商业2013年9月回款明细"/>
      <sheetName val="商业2014年5月回款明细"/>
      <sheetName val="商业2013年6月回款明细"/>
      <sheetName val="商业2013年5月回款明细"/>
      <sheetName val="商业2013年4月回款明细"/>
      <sheetName val="商业2013年3月回款明细"/>
      <sheetName val="商业2013年2月回款明细"/>
      <sheetName val="商业2013年1月回款明细"/>
      <sheetName val="商业2012年11月回款明细"/>
      <sheetName val="商业2012年10月回款明细"/>
      <sheetName val="商业2012年9月回款明细"/>
      <sheetName val="商业2012年8月回款明细"/>
      <sheetName val="商业2012年7月回款明细"/>
      <sheetName val="商业2012年6月回款明细"/>
      <sheetName val="商业2012年4月借款明细 "/>
      <sheetName val="管理例会表4.30"/>
      <sheetName val="附表说明"/>
      <sheetName val="现金流新 IRR"/>
      <sheetName val="待转化-利润贡献 (2)"/>
      <sheetName val="开发间接费分摊"/>
      <sheetName val="2014年销售费用"/>
      <sheetName val="2014管理费用"/>
      <sheetName val="2014年管理费用"/>
      <sheetName val="利息资本化重测"/>
      <sheetName val="项目关键节点"/>
      <sheetName val="表1工程概况"/>
      <sheetName val="表2(结)工程成本预结算费用表"/>
      <sheetName val="现金流量表"/>
      <sheetName val="表2&quot;(结)公共配套工程预成本结算费用表 "/>
      <sheetName val="CDKOHSL"/>
      <sheetName val="表2工程成本跟踪表"/>
      <sheetName val="南区一二期发生成本明细"/>
      <sheetName val="CN1-IT土建成本分析"/>
      <sheetName val="分包及甲供"/>
      <sheetName val="表2-1建筑工程主要经济指标（CN1-IT）"/>
      <sheetName val="表2-2安装工程主要经济指标（CN1-IT）"/>
      <sheetName val="表2&quot;公共配套工程成本动态跟踪表"/>
      <sheetName val="公共配套成本分摊调整明细"/>
      <sheetName val="纳税调整"/>
      <sheetName val="company operations"/>
      <sheetName val="hangzhou2"/>
      <sheetName val="Control"/>
      <sheetName val="Bank Debt"/>
      <sheetName val="GFA"/>
      <sheetName val="Collateral"/>
      <sheetName val="Disposition"/>
      <sheetName val="G2TempSheet"/>
      <sheetName val="Financial highligts"/>
      <sheetName val="资金计划 "/>
      <sheetName val="HKBUD"/>
      <sheetName val="average price"/>
      <sheetName val="05年预售率"/>
      <sheetName val="2006年宏观调控对绿城的影响"/>
      <sheetName val="表1005项目预算年度开发计划表"/>
      <sheetName val="Setting"/>
      <sheetName val="敏感参数"/>
      <sheetName val="敏感详细分析"/>
      <sheetName val="表2002项目销售计划(按金额)"/>
      <sheetName val="date"/>
      <sheetName val="F地块建筑面积统计表 "/>
      <sheetName val="G地块建筑面积统计表 "/>
      <sheetName val="H地块建筑面积统计表"/>
      <sheetName val="I地块建筑面积统计表"/>
      <sheetName val="J地块建筑面积统计表"/>
      <sheetName val="1#楼面积"/>
      <sheetName val="2#楼面积"/>
      <sheetName val="3#楼面积"/>
      <sheetName val="4#楼面积"/>
      <sheetName val="5#楼面积"/>
      <sheetName val="6#9#楼面积"/>
      <sheetName val="7#8#楼面积"/>
      <sheetName val="10#楼面积"/>
      <sheetName val="11#楼面积"/>
      <sheetName val="12#楼面积"/>
      <sheetName val="13#楼面积"/>
      <sheetName val="14#楼面积"/>
      <sheetName val="15#楼面积"/>
      <sheetName val="16#楼面积"/>
      <sheetName val="17#楼面积"/>
      <sheetName val="18#楼面积"/>
      <sheetName val="19#25#楼面积"/>
      <sheetName val="20#楼面积"/>
      <sheetName val="21#楼面积"/>
      <sheetName val="22#楼面积"/>
      <sheetName val="23#楼面积"/>
      <sheetName val="24#楼面积"/>
      <sheetName val="26#楼面积"/>
      <sheetName val="27#楼面积"/>
      <sheetName val="28#楼面积"/>
      <sheetName val="29#楼面积"/>
      <sheetName val="31#楼面积"/>
      <sheetName val="地下室"/>
      <sheetName val="幼儿园面积"/>
      <sheetName val="评估结论"/>
      <sheetName val="本日"/>
      <sheetName val="本月"/>
      <sheetName val="本年"/>
      <sheetName val="资金明细"/>
      <sheetName val="贷款明细"/>
      <sheetName val="往来明细"/>
      <sheetName val="贷款监管资金及保证金-本日"/>
      <sheetName val="贷款监管资金及保证金-本月"/>
      <sheetName val="往来明细-使用说明"/>
      <sheetName val="倒款明细表"/>
      <sheetName val="银承明细"/>
      <sheetName val="广发在途"/>
      <sheetName val="建行和平保证金3498"/>
      <sheetName val="农行永安道保证金5727"/>
      <sheetName val="民生银行0175"/>
      <sheetName val="浦发分行5678"/>
      <sheetName val="交行通达8829"/>
      <sheetName val="交行通达保证金"/>
      <sheetName val="农行友谊北路支行"/>
      <sheetName val="滨海 1356"/>
      <sheetName val="滨海 4632"/>
      <sheetName val="滨海 4640"/>
      <sheetName val="滨海 2412"/>
      <sheetName val="滨海 2408"/>
      <sheetName val="滨海 1368"/>
      <sheetName val="滨海 0440"/>
      <sheetName val="滨海 0432"/>
      <sheetName val="滨海 07"/>
      <sheetName val="滨海 07 (2)"/>
      <sheetName val="滨海保证金户"/>
      <sheetName val="滨海保证金户 5549"/>
      <sheetName val="滨海保证金户 0649"/>
      <sheetName val="滨海保证金户 0631"/>
      <sheetName val="滨海银承4179"/>
      <sheetName val="滨海银承4187"/>
      <sheetName val="滨海定存"/>
      <sheetName val="工行定存户1190"/>
      <sheetName val="现金 (2)"/>
      <sheetName val="兴业银行7582"/>
      <sheetName val="广发银行0094"/>
      <sheetName val="远期支票"/>
      <sheetName val="一级计划(定稿）"/>
      <sheetName val="开发三级计划"/>
      <sheetName val="高层住宅2"/>
      <sheetName val="高层住宅3"/>
      <sheetName val="1号地块联排"/>
      <sheetName val="幼儿园"/>
      <sheetName val="售房部及别墅样板房1"/>
      <sheetName val="高层展示区及样板房1"/>
      <sheetName val="售房部"/>
      <sheetName val="别墅样板房及展示区"/>
      <sheetName val="高层异地样板房"/>
      <sheetName val="高层展示区及公区"/>
      <sheetName val="资源（高层）"/>
      <sheetName val="资源（别墅）"/>
      <sheetName val="招标"/>
      <sheetName val="报建（别墅）"/>
      <sheetName val="报建（高层）"/>
      <sheetName val="差异分析-SJ"/>
      <sheetName val="差异分析-年度-SJ"/>
      <sheetName val="会计毛利 "/>
      <sheetName val="现金流新"/>
      <sheetName val="新工程付款计划表"/>
      <sheetName val="待转化-利润贡献（新）"/>
      <sheetName val="现金流新+IRR"/>
      <sheetName val="待转化-14年利润锁定"/>
      <sheetName val="建造成本审批表（一期新）"/>
      <sheetName val="直接成本审批表 (一期新)"/>
      <sheetName val="费用成本表 (一期）新"/>
      <sheetName val="建造成本审批表（二期新）"/>
      <sheetName val="直接成本审批表 (二期新)"/>
      <sheetName val="费用成本表 (二期）新"/>
      <sheetName val="现金流 (2)"/>
      <sheetName val="老工程付款计划表"/>
      <sheetName val="土增比较"/>
      <sheetName val="土增 (2)"/>
      <sheetName val="汇总简表"/>
      <sheetName val="贷款利息"/>
      <sheetName val="13年融资计划表"/>
      <sheetName val="14年融资计划表"/>
      <sheetName val="15年融资计划表"/>
      <sheetName val="产品配置表"/>
      <sheetName val="1期成本汇总表"/>
      <sheetName val="2期成本汇总表"/>
      <sheetName val="1.2期成本汇总"/>
      <sheetName val="指标对比(与启动会)"/>
      <sheetName val="指标对比(与4.23汇报版)"/>
      <sheetName val="zygy成本增加项目"/>
      <sheetName val="与4.23汇报版对比"/>
      <sheetName val="会计利润对比"/>
      <sheetName val="目标成本对比"/>
      <sheetName val="差异说明"/>
      <sheetName val="二期高层（13号地块）车库成本明细表"/>
      <sheetName val="二期高层（3号地块）车库成本明细表"/>
      <sheetName val="高层1平层建安费新"/>
      <sheetName val="高层3平层建安费新 (2)"/>
      <sheetName val="高层跃层建安费"/>
      <sheetName val="别墅商业建安新"/>
      <sheetName val="联排地上建安表新"/>
      <sheetName val="ZY别墅车库建安费"/>
      <sheetName val="联排地下室建安表新"/>
      <sheetName val="联排地下车库建安费新"/>
      <sheetName val="高层商业建安费新"/>
      <sheetName val="高层平层建安费新"/>
      <sheetName val="高层车库建安费新"/>
      <sheetName val="高层人防车库建安费新"/>
      <sheetName val="5.1米公寓新"/>
      <sheetName val="公用配套设施0"/>
      <sheetName val="公配分摊明细0"/>
      <sheetName val="电梯"/>
      <sheetName val="汇总表（景观新）"/>
      <sheetName val="别墅展示区景观工程费用测算"/>
      <sheetName val="别墅非展示区景观工程费用测算"/>
      <sheetName val="高层展示区景观工程费用测算"/>
      <sheetName val="高层非展示区景观工程费用测算"/>
      <sheetName val="独立商业及办公景观工程费用测算"/>
      <sheetName val="高层展示区景观"/>
      <sheetName val="高层非展示区景观"/>
      <sheetName val="别墅展示区景观"/>
      <sheetName val="别墅非展示区景观"/>
      <sheetName val="独立商业及办公景观"/>
      <sheetName val="中央公高层景观（原）"/>
      <sheetName val="中央公园别墅景观（原）"/>
      <sheetName val="会所及样板房装饰"/>
      <sheetName val="设计费明细"/>
      <sheetName val="土石方"/>
      <sheetName val="土石方分摊明细"/>
      <sheetName val="物业用装饰装修"/>
      <sheetName val="物管用房费用单方"/>
      <sheetName val="别墅车库架空测算费用"/>
      <sheetName val="公区装修"/>
      <sheetName val="建安成本单方对比"/>
      <sheetName val="别墅成本增加项目"/>
      <sheetName val="1号地高层1成本增加项目"/>
      <sheetName val="3号地成本增加项目"/>
      <sheetName val="中央公园售价差异"/>
      <sheetName val="1#2#地块地下室层高"/>
      <sheetName val="3号地商业架空层费用测算"/>
      <sheetName val="高层车库智能化"/>
      <sheetName val="排水工程"/>
      <sheetName val="噪音栏板费用"/>
      <sheetName val="9"/>
      <sheetName val="10"/>
      <sheetName val="11"/>
      <sheetName val="12"/>
      <sheetName val="13"/>
      <sheetName val="14"/>
      <sheetName val="15"/>
      <sheetName val="16"/>
      <sheetName val="17"/>
      <sheetName val="18"/>
      <sheetName val="20"/>
      <sheetName val="23"/>
      <sheetName val="25"/>
      <sheetName val="26"/>
      <sheetName val="27"/>
      <sheetName val="28"/>
      <sheetName val="29"/>
      <sheetName val="30"/>
      <sheetName val="31"/>
      <sheetName val="基础台账表"/>
      <sheetName val="多层意向金"/>
      <sheetName val="逾期签约明细"/>
      <sheetName val="高层意向金情况"/>
      <sheetName val="总体业绩统计"/>
      <sheetName val="12月业绩统计"/>
      <sheetName val="白板数统计"/>
      <sheetName val="分组前白板数统计"/>
      <sheetName val="退房"/>
      <sheetName val="换房"/>
      <sheetName val="日统计"/>
      <sheetName val="周业绩统计"/>
      <sheetName val="回款计划（多层）"/>
      <sheetName val="分楼层均价"/>
      <sheetName val="协议未转明细"/>
      <sheetName val="合同欠款明细"/>
      <sheetName val="周奖励新增明细"/>
      <sheetName val="周例会（张）"/>
      <sheetName val="高层意向金分析"/>
      <sheetName val="预计回款明细"/>
      <sheetName val="周报表协议明细"/>
      <sheetName val="高层台账"/>
      <sheetName val="周统计报表"/>
      <sheetName val="月报表成交明细"/>
      <sheetName val="逾期"/>
      <sheetName val="非逾期"/>
      <sheetName val="10月业绩"/>
      <sheetName val="所有二批高层明细"/>
      <sheetName val="合同欠款明细新"/>
      <sheetName val="回款计划（高层）"/>
      <sheetName val="回款计划（整体）"/>
      <sheetName val="本月合计"/>
      <sheetName val="沈阳"/>
      <sheetName val="杭州调"/>
      <sheetName val="调整（争取版本）"/>
      <sheetName val="奥园"/>
      <sheetName val="伊顿"/>
      <sheetName val="亚太"/>
      <sheetName val="嘉德"/>
      <sheetName val="凡尔赛"/>
      <sheetName val="欧麓西"/>
      <sheetName val="欧麓东"/>
      <sheetName val="紫泉枫丹"/>
      <sheetName val="8月数据"/>
      <sheetName val="集团三季度汇报"/>
      <sheetName val="集团表格"/>
      <sheetName val="集团表格1"/>
      <sheetName val="集团表格（2季度汇报）"/>
      <sheetName val="1季度完成"/>
      <sheetName val="全年任务"/>
      <sheetName val="1月完成"/>
      <sheetName val="2月完成"/>
      <sheetName val="1月销售指标"/>
      <sheetName val="2013年完成情况"/>
      <sheetName val="2013合同备案数"/>
      <sheetName val="3月完成"/>
      <sheetName val="4月完成"/>
      <sheetName val="5月完成"/>
      <sheetName val="2014年新增计划"/>
      <sheetName val="6月完成"/>
      <sheetName val="7月完成"/>
      <sheetName val="全年新增任务4月调"/>
      <sheetName val="欠款简表"/>
      <sheetName val="贷款欠款"/>
      <sheetName val="各银行数据"/>
      <sheetName val="农行退卷"/>
      <sheetName val="资料不齐"/>
      <sheetName val="资料齐"/>
      <sheetName val="大地块按揭清单"/>
      <sheetName val="首付逾期跟进记录"/>
      <sheetName val="认购未签"/>
      <sheetName val="大地块签约"/>
      <sheetName val="大地块认购"/>
      <sheetName val="农行退卷-tx"/>
      <sheetName val="本月预计贷款回款"/>
      <sheetName val="大地块、别墅认购"/>
      <sheetName val="会计利润 (土地评估增值)"/>
      <sheetName val="往来明细表"/>
      <sheetName val="测算收入安排"/>
      <sheetName val="会计毛利 (土地评估增值)"/>
      <sheetName val="土地评估增值"/>
      <sheetName val="工程款支付汇总表"/>
      <sheetName val="工程款支付明细表"/>
      <sheetName val="普查库示例"/>
      <sheetName val="土增(车库成本70%，建安成本全进））"/>
      <sheetName val="土增（车库成本70%，建安成本86%）"/>
      <sheetName val="重大节点"/>
      <sheetName val="管理费用12"/>
      <sheetName val="12年销售费用"/>
      <sheetName val="4亿开发贷四五六期资本化"/>
      <sheetName val="管理费用11"/>
      <sheetName val="土增（车库面积、成本、收入都计算）"/>
      <sheetName val="土增（查账）"/>
      <sheetName val="利息资本化集团"/>
      <sheetName val="13年管理费用"/>
      <sheetName val="13年销售费用"/>
      <sheetName val="付款计划（新）"/>
      <sheetName val="1、会计利润"/>
      <sheetName val="2、会计利润（土地评估增值）"/>
      <sheetName val="3、会计毛利"/>
      <sheetName val="4、会计毛利（土地评估增值）"/>
      <sheetName val="5、管理利润"/>
      <sheetName val="6、管理毛利"/>
      <sheetName val="7、现金流"/>
      <sheetName val="8、节奏成本"/>
      <sheetName val="9、销售计划"/>
      <sheetName val="10、待转化-利润贡献"/>
      <sheetName val="11、待转化-14年利润锁定"/>
      <sheetName val="12、付款计划"/>
      <sheetName val="13、2014销售费用"/>
      <sheetName val="14、2014管理费用"/>
      <sheetName val="15、贷款明细"/>
      <sheetName val="16、税款"/>
      <sheetName val="17、其他收支表"/>
      <sheetName val="18、土地评估增值及商誉"/>
      <sheetName val="19、科目明细表"/>
      <sheetName val="20、关键节点表"/>
      <sheetName val="21、2014收入测算"/>
      <sheetName val="融资财务费用1"/>
      <sheetName val="22、开发间接费"/>
      <sheetName val="23、利息资本化"/>
      <sheetName val="销售费用11、12"/>
      <sheetName val="销售费用（13年新）"/>
      <sheetName val="销售费用（14年新）"/>
      <sheetName val="销售费用13年（旧）"/>
      <sheetName val="管理费用（13年新）"/>
      <sheetName val="管理费用2013年（旧）"/>
      <sheetName val="24、利息资本化基础数据"/>
      <sheetName val="土增（查帐）"/>
      <sheetName val="土增（不含车库)"/>
      <sheetName val="25、土增（不限额）"/>
      <sheetName val="26、土增（限额）"/>
      <sheetName val="开发节奏（旧）"/>
      <sheetName val="现金流(旧）"/>
      <sheetName val="节奏成本（旧）"/>
      <sheetName val="bs&amp;pl"/>
      <sheetName val="填写要求"/>
      <sheetName val="ADJ"/>
      <sheetName val="附注"/>
      <sheetName val="管理费"/>
      <sheetName val="Index"/>
      <sheetName val="银行存款"/>
      <sheetName val="固定资产"/>
      <sheetName val="预收账款"/>
      <sheetName val="回款核对"/>
      <sheetName val="销售及结转"/>
      <sheetName val="税金"/>
      <sheetName val="预付税金"/>
      <sheetName val="CF资料"/>
      <sheetName val="所得及递延税"/>
      <sheetName val="土增递延"/>
      <sheetName val="内部关联往来"/>
      <sheetName val="应收款"/>
      <sheetName val="借款"/>
      <sheetName val="销售费"/>
      <sheetName val="销售费计提"/>
      <sheetName val="存货"/>
      <sheetName val="资本承担（新）"/>
      <sheetName val="付款核对"/>
      <sheetName val="收入成本"/>
      <sheetName val="在建物业"/>
      <sheetName val=" 成本结转（新）"/>
      <sheetName val="应付款"/>
      <sheetName val="科目余额1月"/>
      <sheetName val="科目余额"/>
      <sheetName val="金融资产"/>
      <sheetName val="无形资产"/>
      <sheetName val="股权投资"/>
      <sheetName val="土地(总)"/>
      <sheetName val="产值"/>
      <sheetName val="土地(08年)"/>
      <sheetName val="总土地(09.03)"/>
      <sheetName val="土摊测算"/>
      <sheetName val="建造成本"/>
      <sheetName val="间接费"/>
      <sheetName val="间接费分摊"/>
      <sheetName val="财务费"/>
      <sheetName val="土增税"/>
      <sheetName val="其他净收益"/>
      <sheetName val="权益变动"/>
      <sheetName val="销售费用(2014) "/>
      <sheetName val="费用明细2014"/>
      <sheetName val="利息资本化基础数据表"/>
      <sheetName val="利息资本化计算表"/>
      <sheetName val="管理毛利 "/>
      <sheetName val="2013年销售费用预算表"/>
      <sheetName val="2014销售费用"/>
      <sheetName val="合同额已算"/>
      <sheetName val="员工"/>
      <sheetName val="大单"/>
      <sheetName val="工抵"/>
      <sheetName val="发函"/>
      <sheetName val="大单总"/>
      <sheetName val="工抵总"/>
      <sheetName val="完成确认"/>
      <sheetName val="裙房"/>
      <sheetName val="明细表"/>
      <sheetName val="投标总价"/>
      <sheetName val="单位工程量清单汇总表"/>
      <sheetName val="分部分项工程量清单"/>
      <sheetName val="措施项目清单 "/>
      <sheetName val="综合单价分析表 "/>
      <sheetName val="限定品牌及封样材料清单"/>
      <sheetName val="零星工作项目清单"/>
      <sheetName val="9明细"/>
      <sheetName val="9# (定)"/>
      <sheetName val="C1121A-1石材 C1121A'-1石材"/>
      <sheetName val="C1221-1A石材 C1221'-1石材"/>
      <sheetName val="C02石材"/>
      <sheetName val="C0924石材 C0924'石材"/>
      <sheetName val="C1124A石材"/>
      <sheetName val="C1024石材 C1024'石材"/>
      <sheetName val="C1019石材"/>
      <sheetName val="C0919石材 C0919'石材"/>
      <sheetName val="C0924A石材"/>
      <sheetName val="C1724石材"/>
      <sheetName val="C01石材"/>
      <sheetName val="C1924石材 C1924'石材"/>
      <sheetName val="C1724A石材 C1724A'石材"/>
      <sheetName val="C2924石材"/>
      <sheetName val="C0824石材"/>
      <sheetName val="C1224B石材 C1224'B石材"/>
      <sheetName val="C1124石材"/>
      <sheetName val="C1124'石材"/>
      <sheetName val="C0924B石材"/>
      <sheetName val="C03石材"/>
      <sheetName val="C0617石材"/>
      <sheetName val="C0617涂料1"/>
      <sheetName val="C0617涂料"/>
      <sheetName val="C1420石材"/>
      <sheetName val="C1420'石材"/>
      <sheetName val="C1220A石材"/>
      <sheetName val="C1220石材"/>
      <sheetName val="C1220'石材"/>
      <sheetName val="C04石材"/>
      <sheetName val="C0924'-1石材"/>
      <sheetName val="C3224石材"/>
      <sheetName val="C1224石材"/>
      <sheetName val="C0824'石材"/>
      <sheetName val="C02A石材"/>
      <sheetName val="C0921石材"/>
      <sheetName val="C0921涂料1"/>
      <sheetName val="C0921涂料"/>
      <sheetName val="C1921石材 C1921'石材"/>
      <sheetName val="C1921涂料1 C1921'涂料1"/>
      <sheetName val="C1921涂料 C1921'涂料"/>
      <sheetName val="C1121A石材(定）"/>
      <sheetName val="C1121A涂料1"/>
      <sheetName val="C1121A涂料"/>
      <sheetName val="C3221石材 C3221A石材"/>
      <sheetName val="C3221涂料1 C3221A涂料1"/>
      <sheetName val="C3221涂料 C3221A涂料"/>
      <sheetName val="C0921A石材"/>
      <sheetName val="C0921A涂料1"/>
      <sheetName val="C0921A涂料"/>
      <sheetName val="C1721A石材 C1721A'石材 C1721石材"/>
      <sheetName val="C1721A涂料1  C1721A'涂料1 C1721涂料1"/>
      <sheetName val="C1721A涂料 C1721A'涂料 C1721涂料"/>
      <sheetName val="C01A石材"/>
      <sheetName val="C2921石材"/>
      <sheetName val="C2921涂料1"/>
      <sheetName val="C2921涂料"/>
      <sheetName val="C2221石材"/>
      <sheetName val="C2221涂料1"/>
      <sheetName val="C2221涂料"/>
      <sheetName val="C1121石材"/>
      <sheetName val="C1121涂料1"/>
      <sheetName val="C1121涂料"/>
      <sheetName val="C1121'石材"/>
      <sheetName val="C1121'涂料1"/>
      <sheetName val="C1121'涂料"/>
      <sheetName val="C03A石材"/>
      <sheetName val="C1517A石材"/>
      <sheetName val="C1417石材"/>
      <sheetName val="C1417涂料1"/>
      <sheetName val="C1417涂料"/>
      <sheetName val="C1417'石材"/>
      <sheetName val="C1417'涂料1"/>
      <sheetName val="C1417'涂料"/>
      <sheetName val="C1217石材"/>
      <sheetName val="C1217涂料1"/>
      <sheetName val="C1217涂料"/>
      <sheetName val="C1217'石材"/>
      <sheetName val="C1217'涂料1"/>
      <sheetName val="C1217'涂料"/>
      <sheetName val="C04A石材"/>
      <sheetName val="C0921'石材"/>
      <sheetName val="C0921'涂料1"/>
      <sheetName val="C0921'涂料"/>
      <sheetName val="C1221石材"/>
      <sheetName val="C1221涂料1 C1221涂料"/>
      <sheetName val="C0821'石材"/>
      <sheetName val="C0821'涂料1"/>
      <sheetName val="C0821'涂料"/>
      <sheetName val="C02B涂料1"/>
      <sheetName val="C02B涂料"/>
      <sheetName val="C01B涂料1"/>
      <sheetName val="C01B涂料"/>
      <sheetName val="C03B涂料1"/>
      <sheetName val="C03B涂料"/>
      <sheetName val="C1521A石材"/>
      <sheetName val="C04B涂料1"/>
      <sheetName val="C04B涂料"/>
      <sheetName val="M1024A石材 M1024A'石材"/>
      <sheetName val="M1024A涂料1（涂料）  M1024A'涂料1（涂料)"/>
      <sheetName val="M1024石材 M1024C石材 M1024A石材"/>
      <sheetName val="M1224石材"/>
      <sheetName val="M1324石材"/>
      <sheetName val="M1324涂料1"/>
      <sheetName val="M1324涂料"/>
      <sheetName val="C0821石材 C0821'-1石材 C0821A石材"/>
      <sheetName val="C1921B涂料 C1921B'涂料"/>
      <sheetName val="C1015涂料"/>
      <sheetName val="C1217B涂料"/>
      <sheetName val="C01C涂料"/>
      <sheetName val="C1721B涂料"/>
      <sheetName val="MC2024石材"/>
      <sheetName val="MC4029石材"/>
      <sheetName val="M1824石材"/>
      <sheetName val="M1526石材"/>
      <sheetName val="M0815石材"/>
      <sheetName val="M0815涂料1"/>
      <sheetName val="M0815涂料"/>
      <sheetName val="餐厅门石材"/>
      <sheetName val="餐厅1石材"/>
      <sheetName val="防雨百页涂料"/>
      <sheetName val="百页1石材"/>
      <sheetName val="百页2石材"/>
      <sheetName val="百页2涂料"/>
      <sheetName val="百页3石材"/>
      <sheetName val="百页4石材 "/>
      <sheetName val="百页4涂料"/>
      <sheetName val="百页5涂料"/>
      <sheetName val="百页6石材"/>
      <sheetName val="百页7石材 "/>
      <sheetName val="百页7涂料"/>
      <sheetName val="MQ4'幕墙"/>
      <sheetName val="C1559"/>
      <sheetName val="C0821a石材-m"/>
      <sheetName val="C0821a涂料-m"/>
      <sheetName val="C1121A石材"/>
      <sheetName val="会计利润表"/>
      <sheetName val="IRR"/>
      <sheetName val="会计毛利表"/>
      <sheetName val="融资及财务费用"/>
      <sheetName val="价格"/>
      <sheetName val="目标成本模版目录"/>
      <sheetName val="直接成本审批表"/>
      <sheetName val="建造成本审批表"/>
      <sheetName val="各业态直接成本划分简表"/>
      <sheetName val="付款表新"/>
      <sheetName val="与前版目标成本对比分析表"/>
      <sheetName val="费用成本表"/>
      <sheetName val="全项目综合指标表"/>
      <sheetName val="当期综合指标表"/>
      <sheetName val="一期成本汇总表"/>
      <sheetName val="非建安测算表"/>
      <sheetName val="华宅3.5"/>
      <sheetName val="华宅3.2"/>
      <sheetName val="建测（地商）"/>
      <sheetName val="建测（商业街）"/>
      <sheetName val="建测（底商）"/>
      <sheetName val="建测（幼儿园）"/>
      <sheetName val="建测（公寓）5.1"/>
      <sheetName val="建测（超高层）67"/>
      <sheetName val="建测（车库）"/>
      <sheetName val="土地款分摊（新）"/>
      <sheetName val="平基挡墙费用"/>
      <sheetName val="电梯测算"/>
      <sheetName val="景观估算表"/>
      <sheetName val="室外排水管网"/>
      <sheetName val="建安测算表（土方、地基）"/>
      <sheetName val="建测（原表）"/>
      <sheetName val="2013.10.8"/>
      <sheetName val="开发部台账2013.10.8"/>
      <sheetName val="景观硬景"/>
      <sheetName val="苗木"/>
      <sheetName val="市政排水"/>
      <sheetName val="Parameters"/>
      <sheetName val="1-1#楼"/>
      <sheetName val="1-2#楼"/>
      <sheetName val="1-2#楼 (2)"/>
      <sheetName val="1-3#楼"/>
      <sheetName val="1-4#楼"/>
      <sheetName val="1-5#楼 "/>
      <sheetName val="1-5#楼  (2)"/>
      <sheetName val="1-8#楼"/>
      <sheetName val="1-9#楼"/>
      <sheetName val="1-10#楼"/>
      <sheetName val="1-11#楼"/>
      <sheetName val="1-12#楼"/>
      <sheetName val="1-13#楼"/>
      <sheetName val="1-15#楼"/>
      <sheetName val="1-16#楼"/>
      <sheetName val="1-17#楼"/>
      <sheetName val="1-18#楼 "/>
      <sheetName val="1-19#楼"/>
      <sheetName val="1-20#楼"/>
      <sheetName val="1-21#楼"/>
      <sheetName val="例会数据表"/>
      <sheetName val="协议未转"/>
      <sheetName val="银行按揭台账"/>
      <sheetName val="分销代理说明"/>
      <sheetName val="钢筋调价汇总表"/>
      <sheetName val="年度、月度情况"/>
      <sheetName val="2014年分月指标-2月调实"/>
      <sheetName val="分日情况"/>
      <sheetName val="月度新增"/>
      <sheetName val="剩余资源"/>
      <sheetName val="借款明细"/>
      <sheetName val="在途明细"/>
      <sheetName val="本月新增明细"/>
      <sheetName val="价格变化的品种"/>
      <sheetName val="2000CCTV"/>
      <sheetName val="2000PA"/>
      <sheetName val="2000DCN"/>
      <sheetName val="2000INTERCOM"/>
      <sheetName val="99CCTV SUP"/>
      <sheetName val="99PA"/>
      <sheetName val="99Paging"/>
      <sheetName val="99Inter"/>
      <sheetName val="99DCN"/>
      <sheetName val="销售明细账"/>
      <sheetName val="5.1-销售数量及金额 湖北"/>
      <sheetName val="发现问题汇总"/>
      <sheetName val="Control List"/>
      <sheetName val="Name list"/>
      <sheetName val="checklist"/>
      <sheetName val="各公司国际会计准则下报表"/>
      <sheetName val="POA"/>
      <sheetName val="IFRS"/>
      <sheetName val="PwC"/>
      <sheetName val="A-1货币资金明细表"/>
      <sheetName val="RP A-1货币资金汇总表(不用填写)"/>
      <sheetName val="A-2-1内部往来明细"/>
      <sheetName val="A-2-3 应收应付关联方明细"/>
      <sheetName val="RP A-2-3 应收应付关联方汇总表(不用填写)"/>
      <sheetName val="A-3 应收帐款明细表"/>
      <sheetName val="RP A-3应收帐款汇总表(不用填写) "/>
      <sheetName val="A-4 预付帐款明细表"/>
      <sheetName val="A-5其他应收款明细表"/>
      <sheetName val="A-6-1 POC计算表"/>
      <sheetName val="A-6-2 POC调整分录"/>
      <sheetName val="A-6-4 存货预提调整分录"/>
      <sheetName val="A-6-5 存货明细表"/>
      <sheetName val="RP A-6 存货汇总表(不用填写)"/>
      <sheetName val="A-7 待摊费用明细表"/>
      <sheetName val="A-8 长期投资明细表"/>
      <sheetName val="A-9 固定资产变动表"/>
      <sheetName val="A-10 其他长期资产明细表"/>
      <sheetName val="L-1 短期借款明细表"/>
      <sheetName val="RP L-1 短期借款(不用填写)"/>
      <sheetName val="L-2 长期借款明细表"/>
      <sheetName val="RP L-2 长期借款(不用填写)"/>
      <sheetName val="L-3 应付帐款"/>
      <sheetName val="L-4 其他应付款明细表"/>
      <sheetName val="L-5 应交税金"/>
      <sheetName val="L-6 其它流动负债科目"/>
      <sheetName val="L-7 工资福利费"/>
      <sheetName val="L-8 资本承担"/>
      <sheetName val="C-1 所有者权益"/>
      <sheetName val="PL-1 收入成本明细表"/>
      <sheetName val="PL-2 其它业务利润"/>
      <sheetName val="PL-3 销售及管理费用明细表"/>
      <sheetName val="RP PL-3 经营溢利（不用填写）"/>
      <sheetName val="PL-4 财务费用明细表"/>
      <sheetName val="RP PL-4 财务费用"/>
      <sheetName val="PL-5 利息资本化计算表"/>
      <sheetName val="RP PL-6 所得税费用"/>
      <sheetName val="价目表"/>
      <sheetName val="会计利润（土地评估增值）"/>
      <sheetName val="会计毛利（土地评估增值）"/>
      <sheetName val="销售费用1"/>
      <sheetName val="区域往来"/>
      <sheetName val="海尔地产利息"/>
      <sheetName val="第3季度MS-销额"/>
      <sheetName val="第3季度MS-销量"/>
      <sheetName val="02年MS-销额"/>
      <sheetName val="02年MS-销量"/>
      <sheetName val="Data-升"/>
      <sheetName val="Data-金额"/>
      <sheetName val="Data-瓶"/>
      <sheetName val="付款明细"/>
      <sheetName val="当月月业绩统计"/>
      <sheetName val="协议欠款2（多层）"/>
      <sheetName val="协议欠款2（高层）"/>
      <sheetName val="合同欠款2（多层）"/>
      <sheetName val="合同欠款2（高层）"/>
      <sheetName val="余房结构"/>
      <sheetName val="回款排摸"/>
      <sheetName val="2月6日"/>
      <sheetName val="NEW"/>
      <sheetName val="集团版"/>
      <sheetName val="2014年分月指标-1.20版"/>
      <sheetName val="新现金流"/>
      <sheetName val="工程款付款计划1"/>
      <sheetName val="0627与启动会对比"/>
      <sheetName val="0627与0415责任书对比"/>
      <sheetName val="别墅车库成本明细表"/>
      <sheetName val="叠拼车库成本明细"/>
      <sheetName val="高层车库成本明细"/>
      <sheetName val="高层建安费1#楼基础5#楼主体"/>
      <sheetName val="高层建安2#楼"/>
      <sheetName val="15-2商业建安费 A-C段"/>
      <sheetName val="15-3商业参考15-2系数不同点做调整"/>
      <sheetName val="A-1联排地上建安分析表"/>
      <sheetName val="A-1联排建安地下部分"/>
      <sheetName val="联排地下车库"/>
      <sheetName val="叠拼地上"/>
      <sheetName val="叠拼地下"/>
      <sheetName val="15-2高层、叠拼、商业车库建安费"/>
      <sheetName val="15-3景观"/>
      <sheetName val="15-2景观"/>
      <sheetName val="协议"/>
      <sheetName val="付款方式"/>
      <sheetName val="银行"/>
      <sheetName val="按揭到帐"/>
      <sheetName val="接待人"/>
      <sheetName val="拼合情况"/>
      <sheetName val="样板房"/>
      <sheetName val="储藏室"/>
      <sheetName val="数据表"/>
      <sheetName val="统计"/>
      <sheetName val="保留房源"/>
      <sheetName val="公寓式办公"/>
      <sheetName val="3幢打印稿"/>
      <sheetName val="1幢打印稿"/>
      <sheetName val="5A办公2幢"/>
      <sheetName val="5A办公4幢"/>
      <sheetName val="独栋办公"/>
      <sheetName val="鮮之味搭贈"/>
      <sheetName val="IG軍挑戰案附件(2)"/>
      <sheetName val="IG軍挑戰案附件(簽呈版)"/>
      <sheetName val="IG軍挑戰案附件(1)"/>
      <sheetName val="IG軍挑戰案1227"/>
      <sheetName val="上市計劃附件 (3)"/>
      <sheetName val="上市計劃附件 (2)"/>
      <sheetName val="上市計劃附件"/>
      <sheetName val="新產品上市計劃"/>
      <sheetName val="標準格式"/>
      <sheetName val="IG軍on pack附件 (2)"/>
      <sheetName val="IG軍on pack1204"/>
      <sheetName val="進度管制表"/>
      <sheetName val="促銷活動損益"/>
      <sheetName val="促銷活動附件"/>
      <sheetName val="盒蓋集字促銷方案"/>
      <sheetName val="台鹽合約"/>
      <sheetName val="台鹽合約 (2)"/>
      <sheetName val="公會附表"/>
      <sheetName val="公會代表"/>
      <sheetName val="葵花油合約書事宜"/>
      <sheetName val="追加預算"/>
      <sheetName val="1kg軍促銷方案研擬 "/>
      <sheetName val="小包裝研擬(2)"/>
      <sheetName val="小包裝促銷方案研擬(1) "/>
      <sheetName val="小包裝促銷方案研擬"/>
      <sheetName val="IG軍on pack附件"/>
      <sheetName val="IG軍on pack"/>
      <sheetName val="武田技酬金"/>
      <sheetName val="IG挑戰結算"/>
      <sheetName val="賣酒簽呈"/>
      <sheetName val="副牌補貼"/>
      <sheetName val="追加廣告預算0621"/>
      <sheetName val="經銷通路修正"/>
      <sheetName val="_____"/>
      <sheetName val="责任书封面"/>
      <sheetName val="主界面"/>
      <sheetName val="查询表"/>
      <sheetName val="销售分解"/>
      <sheetName val="期间费用及薪酬"/>
      <sheetName val="利润估算"/>
      <sheetName val="附表2-销售分析"/>
      <sheetName val="附表3-开发计划"/>
      <sheetName val="附表4-招标计划"/>
      <sheetName val="附表5-合作单位"/>
      <sheetName val="框图"/>
      <sheetName val="报价一"/>
      <sheetName val="框图2"/>
      <sheetName val="方案3"/>
      <sheetName val="10月回"/>
      <sheetName val="分布1"/>
      <sheetName val="流程图"/>
      <sheetName val="零研普查封面"/>
      <sheetName val="零研普查"/>
      <sheetName val="新零研普查"/>
      <sheetName val="普查城市详细编码"/>
      <sheetName val="调查表"/>
      <sheetName val="普查注意事项"/>
      <sheetName val="类型区分表"/>
      <sheetName val="康产品"/>
      <sheetName val="商店类型"/>
      <sheetName val="日用品明细表"/>
      <sheetName val="普查记录表"/>
      <sheetName val="劳务费发放明细表"/>
      <sheetName val="样本分布示例牡丹江"/>
      <sheetName val="选取调查样本封面 "/>
      <sheetName val="选取调查样本"/>
      <sheetName val="样本"/>
      <sheetName val="访员培训封面"/>
      <sheetName val="访员培训"/>
      <sheetName val="一览表"/>
      <sheetName val="媒体"/>
      <sheetName val="批发市场"/>
      <sheetName val="基础问卷市场调查表"/>
      <sheetName val="问卷示例"/>
      <sheetName val="A基础问卷"/>
      <sheetName val="A基础问卷示例"/>
      <sheetName val="学生资料卡"/>
      <sheetName val="品项口味一览表"/>
      <sheetName val="访员调查封面"/>
      <sheetName val="访员调查"/>
      <sheetName val="检核问卷封面 "/>
      <sheetName val="检核问卷及奖惩"/>
      <sheetName val="劳务费总计"/>
      <sheetName val="劳务费发放表 "/>
      <sheetName val="市调费用邮寄明细"/>
      <sheetName val="统计问卷封面 "/>
      <sheetName val="统计问卷"/>
      <sheetName val="零售价表"/>
      <sheetName val="销量表"/>
      <sheetName val="批号表"/>
      <sheetName val="B类销量统计表"/>
      <sheetName val="A类店统计表"/>
      <sheetName val="直营统计表"/>
      <sheetName val="直营统计表 (2)"/>
      <sheetName val="形成月报封面"/>
      <sheetName val="月报说明"/>
      <sheetName val="东北总铺"/>
      <sheetName val="东北总占"/>
      <sheetName val="月报封面"/>
      <sheetName val="铺货率"/>
      <sheetName val="分口味"/>
      <sheetName val="主品项铺货度"/>
      <sheetName val="哈分区"/>
      <sheetName val="占有总表"/>
      <sheetName val="分价占有"/>
      <sheetName val="零售价格"/>
      <sheetName val="利润"/>
      <sheetName val="零售批号"/>
      <sheetName val="批号预警表"/>
      <sheetName val="A级店口味铺货"/>
      <sheetName val="A级主要店"/>
      <sheetName val="市场信息（1）"/>
      <sheetName val="市场信息 (2)"/>
      <sheetName val="广促信息"/>
      <sheetName val="提供月报封面 "/>
      <sheetName val="形成月报封面 (3)"/>
      <sheetName val="关于资本化利息的基础数据"/>
      <sheetName val="Sheet23"/>
      <sheetName val="Sheet24"/>
      <sheetName val="统计总表"/>
      <sheetName val="高层二期合同台账"/>
      <sheetName val="商业二期合同台账"/>
      <sheetName val="重大节点(旧）"/>
      <sheetName val="开发间接费用"/>
      <sheetName val="重大节点（新）"/>
      <sheetName val="_x005f_x0000__x005f_x0000__x005f_x0000__x005f_x0000__x0"/>
      <sheetName val="_x005f_x005f_x005f_x0000__x005f_x005f_x005f_x0000__x005"/>
      <sheetName val="利息资本化 "/>
      <sheetName val="利息支出"/>
      <sheetName val="_x005f_x005f_x005f_x005f_x005f_x005f_x005f_x0000__x005f"/>
      <sheetName val="损益表(一般)-1"/>
      <sheetName val="营业额分析表-2"/>
      <sheetName val="毛利率分析表-4"/>
      <sheetName val="经营利润分析表-5"/>
      <sheetName val="经营利润表-明细-5-1-CRLD610000"/>
      <sheetName val="经营利润表-明细-5-1-CRLD210000"/>
      <sheetName val="经营利润表-明细-5-1-CRLD220000"/>
      <sheetName val="经营利润表-明细-5-1-CRLD230000"/>
      <sheetName val="经营利润表-明细-5-1-CRLD240000物业管理"/>
      <sheetName val="经营利润表-明细-5-1-CRLD250000租务"/>
      <sheetName val="经营利润表-明细-5-1-CRLD260000其他收入"/>
      <sheetName val="经营利润表-明细-5-1-CRLD270000会所"/>
      <sheetName val="经营利润表-明细-5-1-CRLD620000"/>
      <sheetName val="经营利润表-明细-物业销售-上海"/>
      <sheetName val="经营利润表-明细-物业管理-上海"/>
      <sheetName val="经营利润表-明细-租金收入-上海"/>
      <sheetName val="经营利润表-明细-5-1-CRLD630000"/>
      <sheetName val="经营利润表-明细-物业销售-成都"/>
      <sheetName val="经营利润表-明细-物业管理-成都"/>
      <sheetName val="经营利润表-明细-租金收入-成都"/>
      <sheetName val="经营利润表-明细-5-1-CRLD640000"/>
      <sheetName val="营业额分析-物业销售-北京"/>
      <sheetName val="营业额分析-物业销售-上海"/>
      <sheetName val="营业额分析-物业销售-成都"/>
      <sheetName val="营业额分析表-物业出租-北京"/>
      <sheetName val="营业额分析表-物业出租-上海"/>
      <sheetName val="营业额分析表-物业出租-成都"/>
      <sheetName val="营业额分析表-会所收入-北京"/>
      <sheetName val="营业额分析表-物业管理收入-北京"/>
      <sheetName val="营业额分析表-物业管理收入-上海"/>
      <sheetName val="营业额分析表-物业管理收入-成都"/>
      <sheetName val="一般及行政费用分析表-11"/>
      <sheetName val="一般及行政费用-明细-11-1"/>
      <sheetName val="销售及分销费用分析表-14"/>
      <sheetName val="销售及分销费用-明细-14-1"/>
      <sheetName val="其它经营费用分析表-15"/>
      <sheetName val="成本及费用-汇总"/>
      <sheetName val="成本及费用-北京"/>
      <sheetName val="成本及费用-转让土地-北京"/>
      <sheetName val="成本及费用-出售物业发展权-北京"/>
      <sheetName val="成本及费用-物业销售-北京"/>
      <sheetName val="成本及费用-物业管理-北京"/>
      <sheetName val="成本及费用-租金收入-北京"/>
      <sheetName val="成本及费用-其他收入-北京"/>
      <sheetName val="成本及费用-会所收入-北京"/>
      <sheetName val="成本及费用-上海"/>
      <sheetName val="成本及费用-物业销售-上海"/>
      <sheetName val="成本及费用-物业管理-上海"/>
      <sheetName val="成本及费用-租金收入-上海"/>
      <sheetName val="成本及费用-成都"/>
      <sheetName val="成本及费用-物业销售-成都"/>
      <sheetName val="成本及费用-物业管理-成都"/>
      <sheetName val="成本及费用-租金收入-成都"/>
      <sheetName val="成本及费用-香港本部"/>
      <sheetName val="其它经营收入分析表-20"/>
      <sheetName val="其他收入分析表-北京"/>
      <sheetName val="其他收入分析表-转让土地-北京"/>
      <sheetName val="其他收入分析表-出售物业发展权-北京"/>
      <sheetName val="其他收入分析表-物业销售-北京"/>
      <sheetName val="其他收入分析表-物业管理-北京"/>
      <sheetName val="其他收入分析表-租金收入-北京"/>
      <sheetName val="其他收入分析表-其他收入-北京"/>
      <sheetName val="其他收入分析表-会所收入-北京"/>
      <sheetName val="其他收入分析表-上海"/>
      <sheetName val="其他收入分析表-物业销售-上海"/>
      <sheetName val="其他收入分析表-物业管理-上海"/>
      <sheetName val="其他收入分析表-租金收入-上海"/>
      <sheetName val="其他收入分析表-成都"/>
      <sheetName val="其他收入分析表-物业销售-成都"/>
      <sheetName val="其他收入分析表-物业管理-成都"/>
      <sheetName val="其他收入分析表-租金收入-成都"/>
      <sheetName val="其他收入分析表-租金收入-香港本部"/>
      <sheetName val="其它非经营性收入及支出分析表-23"/>
      <sheetName val="财务收支分析表-24"/>
      <sheetName val="土地储备表"/>
      <sheetName val="资产负债表-26"/>
      <sheetName val="资金情怳表-27"/>
      <sheetName val="应收帐款周转天数表-按利润中心-29"/>
      <sheetName val="资本性支出表-35"/>
      <sheetName val="现金流量表-45"/>
      <sheetName val="现金流量表-直接法-汇总"/>
      <sheetName val="现金流量表-直接法-北京公司"/>
      <sheetName val="现金流量表-直接法-上海公司"/>
      <sheetName val="现金流量表-直接法-成都公司"/>
      <sheetName val="现金流量表-直接法-香港本部"/>
      <sheetName val="按揭应收款分析表"/>
      <sheetName val="项目资金占用情况表"/>
      <sheetName val="税项表"/>
      <sheetName val="员工人数"/>
      <sheetName val="三年综述表-115"/>
      <sheetName val="Validation"/>
      <sheetName val="现金流新1"/>
      <sheetName val="土地"/>
      <sheetName val="市配"/>
      <sheetName val="公配"/>
      <sheetName val="汇总2"/>
      <sheetName val="2、会计利润 (土地评估增值)"/>
      <sheetName val="4、会计毛利 (土地评估增值)"/>
      <sheetName val="20、关键节点"/>
      <sheetName val="21、2014年收入测算"/>
      <sheetName val="22、开发间接费用"/>
      <sheetName val="收入测算(13)"/>
      <sheetName val="13年管理费用（新）"/>
      <sheetName val="13年管理费用（旧）"/>
      <sheetName val="2014销售费用（旧）"/>
      <sheetName val="13年销售费用（新）"/>
      <sheetName val="13年销售费用（旧）"/>
      <sheetName val="2014年销售费用旧表"/>
      <sheetName val="2014年销售费用旧"/>
      <sheetName val="待转化-利润贡献（旧表）"/>
      <sheetName val="待转化-利润贡献(13)"/>
      <sheetName val="BA-Pl"/>
      <sheetName val="土增(集团要求）"/>
      <sheetName val="Index-"/>
      <sheetName val="收入测算"/>
      <sheetName val="中国宏观经济强劲"/>
      <sheetName val="高增长高利润的经营业绩 (2)"/>
      <sheetName val="收入基础多元化"/>
      <sheetName val="new1"/>
      <sheetName val="Revenue"/>
      <sheetName val="Excellent"/>
      <sheetName val="breakdown"/>
      <sheetName val="Site"/>
      <sheetName val="主要房地产市场发展趋势—北京"/>
      <sheetName val="主要房地产市场发展趋势—上海"/>
      <sheetName val="主要房地产市场发展趋势—浙江"/>
      <sheetName val="主要房地产市场发展趋势—杭州"/>
      <sheetName val="高增长高利润的经营业绩"/>
      <sheetName val="多元化高质量的土地储备"/>
      <sheetName val="新增明细"/>
      <sheetName val="协议变更"/>
      <sheetName val="别墅房间信息"/>
      <sheetName val="历史"/>
      <sheetName val="2013.3"/>
      <sheetName val="2013.4"/>
      <sheetName val="2013.5"/>
      <sheetName val="2013.6"/>
      <sheetName val="2013.7"/>
      <sheetName val="2013.8"/>
      <sheetName val="2013.9"/>
      <sheetName val="2013.10"/>
      <sheetName val="2013.11"/>
      <sheetName val="2013.12"/>
      <sheetName val="2014.1"/>
      <sheetName val="2014.2"/>
      <sheetName val="2014.3"/>
      <sheetName val="2014.4"/>
      <sheetName val="底价38000"/>
      <sheetName val="底价40000"/>
      <sheetName val="全部上反12%"/>
      <sheetName val="损益汇总表"/>
      <sheetName val="现金流汇总表"/>
      <sheetName val="项目损益表"/>
      <sheetName val="项目费用分析表"/>
      <sheetName val="项目现金流量分析表"/>
      <sheetName val="成本汇总表"/>
      <sheetName val="一期成本预算表"/>
      <sheetName val="二期成本预算表"/>
      <sheetName val="三期成本预算表"/>
      <sheetName val="四期成本预算表"/>
      <sheetName val="五期成本预算表"/>
      <sheetName val="其他项目成本预算表"/>
      <sheetName val="项目资金占用情况预算表"/>
      <sheetName val="员工人数表"/>
      <sheetName val="资金情况表"/>
      <sheetName val="资本性支出预算表"/>
      <sheetName val="关联交易表"/>
      <sheetName val="11月新增分解"/>
      <sheetName val="11月新增"/>
      <sheetName val="12月新增分解"/>
      <sheetName val="基本参数及说明表"/>
      <sheetName val="利润及利润分配表"/>
      <sheetName val="比较资产负债表"/>
      <sheetName val="共同比资产负债表"/>
      <sheetName val="比较利润及利润分配表"/>
      <sheetName val="共同比利润及利润分配表"/>
      <sheetName val="比较现金流量表"/>
      <sheetName val="共同比现金流量表"/>
      <sheetName val="财务比率表"/>
      <sheetName val="杜邦分析表"/>
      <sheetName val="销售成本倒轧表"/>
      <sheetName val="七期十期调整前比较第一版方案"/>
      <sheetName val="七期十期调整前比较第二版方案"/>
      <sheetName val="敏感度分析表"/>
      <sheetName val="建筑面积统计表"/>
      <sheetName val="七期十期调整后比较"/>
      <sheetName val="成本对比表"/>
      <sheetName val="七期十期建安差异表"/>
      <sheetName val="费用"/>
      <sheetName val="建造目标成本（无样板房销售装饰及市配空房管理费）"/>
      <sheetName val="干挂石材成本"/>
      <sheetName val="玻璃栏板费用测算明细表"/>
      <sheetName val="建安汇总（3.5SOHO)"/>
      <sheetName val="建安费(SOHO)3.5 "/>
      <sheetName val="工程付款"/>
      <sheetName val="与年中经营计划对比表 (2)"/>
      <sheetName val="地上可售工程直接成本审批表（新）"/>
      <sheetName val="增加成本及费用说明表（住宅）"/>
      <sheetName val="前期费作废"/>
      <sheetName val="项目配置标准表(新） "/>
      <sheetName val="建安汇总（酒店式公寓）"/>
      <sheetName val="13期人防成本明细表 "/>
      <sheetName val="13期车库成本明细表"/>
      <sheetName val="13期住宅成本明细表"/>
      <sheetName val="直接目标成本审批表"/>
      <sheetName val="建造目标成本审批表 "/>
      <sheetName val="方案目标成本版与现版本对比"/>
      <sheetName val="经营计划与现在方案对比（报审版）"/>
      <sheetName val="方案目标成本与现方案指标对比"/>
      <sheetName val="经营计划与现在方案面积指标对比 "/>
      <sheetName val="经营计划与现方案对比（利润额对比）"/>
      <sheetName val="节奏成本201401"/>
      <sheetName val="车库对比表"/>
      <sheetName val="12月版 节奏成本201003"/>
      <sheetName val="201402节奏成本"/>
      <sheetName val="土地款分摊"/>
      <sheetName val="办公会所"/>
      <sheetName val="建安费(写字楼)"/>
      <sheetName val="建安汇总（5.1SOHO)"/>
      <sheetName val="建安费(SOHO)5.1"/>
      <sheetName val="建安汇总（LOFT)"/>
      <sheetName val="建安费(LOFT)3.6"/>
      <sheetName val="建安汇总（底层商业) "/>
      <sheetName val="建安费(底层商业) "/>
      <sheetName val="建安汇总（独立商业) "/>
      <sheetName val="建安费（LOFT）4# 楼酒店"/>
      <sheetName val="建安费(独立商业)"/>
      <sheetName val="电影院"/>
      <sheetName val="超市前商业区"/>
      <sheetName val="超市"/>
      <sheetName val="车库审批表（旧）"/>
      <sheetName val="地下车库直接成本审批表（新）"/>
      <sheetName val="居住环境"/>
      <sheetName val="展示区"/>
      <sheetName val="公共部位装修（写字楼）"/>
      <sheetName val="公共部位装修预算（LOFT）"/>
      <sheetName val="公共部位装修（独立商业）"/>
      <sheetName val="公共部位装修预算（SOHO）"/>
      <sheetName val="公共部位装修（办公会所）"/>
      <sheetName val="10期幼儿园成本明细表"/>
      <sheetName val="电梯工程费"/>
      <sheetName val="电梯单价明细表"/>
      <sheetName val="对比表"/>
      <sheetName val="2014.3.1建筑面积再次梳理"/>
      <sheetName val="4、5#楼不用面积"/>
      <sheetName val="套内面积梳理"/>
      <sheetName val="桃花源别墅2014销售费用（总表）"/>
      <sheetName val="桃花源别墅2014销售费用明细"/>
      <sheetName val="2013占2014费用"/>
      <sheetName val="1-6月西溪"/>
      <sheetName val="1-7月管理费用预算执行"/>
      <sheetName val="1-7月销售费用预算执行"/>
      <sheetName val="费用查核-7月"/>
      <sheetName val="费用查核-6月"/>
      <sheetName val="1-5月管理费用预算执行"/>
      <sheetName val="1-5月营销费用执行情况"/>
      <sheetName val="费用查核-5月(望江府修正后）"/>
      <sheetName val="费用查核-5月(望江府原稿）"/>
      <sheetName val="费用查核-5月(望江府借款）"/>
      <sheetName val="费用查核-4月(望江府） (2)"/>
      <sheetName val="费用查核-4月(望江府） (集团检查)"/>
      <sheetName val="西溪4月"/>
      <sheetName val="费用查核-4月(望江府）"/>
      <sheetName val="费用查核"/>
      <sheetName val="费用查核-3月"/>
      <sheetName val="望江4月"/>
      <sheetName val="探亲费西溪"/>
      <sheetName val="探亲费望江"/>
      <sheetName val="1-6"/>
      <sheetName val="1--7"/>
      <sheetName val="1-7(冲减）"/>
      <sheetName val="营销合同（草稿）"/>
      <sheetName val="借款（草稿）"/>
      <sheetName val="9月销售费用"/>
      <sheetName val="营销预算分析表"/>
      <sheetName val="8月营销费用（分析底稿)"/>
      <sheetName val="8月管理费用（分析）"/>
      <sheetName val="营销对预算执行差异（细）"/>
      <sheetName val="8月管理费用"/>
      <sheetName val="管理费用预算执行表"/>
      <sheetName val="8月预算执行中扣的预算明细"/>
      <sheetName val="管理费用账务明细"/>
      <sheetName val="开发间接费用账务明细"/>
      <sheetName val="1-8月"/>
      <sheetName val="1-8月（冲减1）"/>
      <sheetName val="1-8月冲减（含借款）"/>
      <sheetName val="汪永理借款操作"/>
      <sheetName val="王程借款操作"/>
      <sheetName val="9月销售费用预算执行表"/>
      <sheetName val="已提交未付款单据（管理）"/>
      <sheetName val="9月营销合同对账"/>
      <sheetName val="9月营销预算全对账"/>
      <sheetName val="9月营销费用账面对"/>
      <sheetName val="9月管理费用"/>
      <sheetName val="9月预算合计"/>
      <sheetName val="1-9月预算合计"/>
      <sheetName val="1-9月预算合计（冲减）（含借款）"/>
      <sheetName val="1-9月预算合计（冲减）"/>
      <sheetName val="远期支票汇总"/>
      <sheetName val="预算调整申请表"/>
      <sheetName val="年初苏州公司经营计划"/>
      <sheetName val="2014年御园年初费用预算"/>
      <sheetName val="2014年桃花源年初费用预算"/>
      <sheetName val="苏州公司1-6月调实费用汇总"/>
      <sheetName val="御园1-6月调实及7-12月预算"/>
      <sheetName val="桃花源1-6月调实及7-12月预算"/>
      <sheetName val="御园1-7月调实及8-12月预算"/>
      <sheetName val="费用核算-御园1-7月调实及8-12月预算"/>
      <sheetName val="总表惠"/>
      <sheetName val="御园1-6月薪酬"/>
      <sheetName val="桃花源1-6月薪酬"/>
      <sheetName val="费用明细"/>
      <sheetName val="费用核算"/>
      <sheetName val="2013年费用占用2014年汇总表"/>
      <sheetName val="御园13年计入14年费用明细"/>
      <sheetName val="2013年管理费用预算表"/>
      <sheetName val="2014年管理费用预算表"/>
      <sheetName val="2013年销售费用"/>
      <sheetName val="2014年销售费用预算表"/>
      <sheetName val="销售人员工资及福利"/>
      <sheetName val="待转换-利润贡献"/>
      <sheetName val="2013管理费用预算表"/>
      <sheetName val="利息资本化含土地出让金"/>
      <sheetName val="1.财务报表"/>
      <sheetName val="2-1.货币资金总表"/>
      <sheetName val="2-2.库存现金"/>
      <sheetName val="2-3.银行存款"/>
      <sheetName val="3.应收票据"/>
      <sheetName val="4-1.应收帐款总表"/>
      <sheetName val="4-2.应收帐款明细"/>
      <sheetName val="★应收帐款明细自加"/>
      <sheetName val="5-1.其它应收款总表"/>
      <sheetName val="5-2.其他应收款明细"/>
      <sheetName val="6.预付帐款"/>
      <sheetName val="7-1.存货总表"/>
      <sheetName val="7-2.存货明细"/>
      <sheetName val="7-3.存货跌价准备"/>
      <sheetName val="7-4.存货帐实调节"/>
      <sheetName val="8.待摊费用"/>
      <sheetName val="9-1.固定资产"/>
      <sheetName val="9-2.固定资产增加及减少明细"/>
      <sheetName val="10.在建工程"/>
      <sheetName val="11.无形资产"/>
      <sheetName val="12.长期待摊费用"/>
      <sheetName val="13-1.短期借款"/>
      <sheetName val="13-2.长期借款"/>
      <sheetName val="14.预收帐款"/>
      <sheetName val="15.应付票据"/>
      <sheetName val="16.应付帐款"/>
      <sheetName val="★应付明细自加"/>
      <sheetName val="17.其它应付款"/>
      <sheetName val="18.预提费用"/>
      <sheetName val="19.应付股利"/>
      <sheetName val="20.应交税金"/>
      <sheetName val="21.应付工资及福利费"/>
      <sheetName val="22.长期应付款及其它"/>
      <sheetName val="23.注册资本变动"/>
      <sheetName val="24.股本"/>
      <sheetName val="25.公积金及未分配利润"/>
      <sheetName val="26.损益表项目"/>
      <sheetName val="27.毛利率"/>
      <sheetName val="28.销售成本调节表"/>
      <sheetName val="30.内部销售"/>
      <sheetName val="29.长期投资"/>
      <sheetName val="31.内部往来"/>
      <sheetName val="★对帐明细"/>
      <sheetName val="32.关联方往来余额"/>
      <sheetName val="33.关联方交易"/>
      <sheetName val="34.营业费用"/>
      <sheetName val="35.新加坡关联方"/>
      <sheetName val="32.新加坡准则"/>
      <sheetName val="33.现金流量表"/>
      <sheetName val="34.承诺事项"/>
      <sheetName val="35.或有负债及期后事项"/>
      <sheetName val="1f"/>
      <sheetName val="2f"/>
      <sheetName val="一拖二"/>
      <sheetName val="汇总表-1"/>
      <sheetName val="汇总表-2"/>
      <sheetName val="附件1"/>
      <sheetName val="资本化重测"/>
      <sheetName val="2015管理费用"/>
      <sheetName val="2015年营销费用"/>
      <sheetName val="建造目标成本审批表"/>
      <sheetName val="各业态直接成本划分"/>
      <sheetName val="2月经营计划与现版本面积指标对比"/>
      <sheetName val="11月确定版与7月版本对比"/>
      <sheetName val="15-2商业建安费 A-C段1#楼商业结构、砌体抹灰"/>
      <sheetName val="联排别墅改商业地上"/>
      <sheetName val="联排别墅改商业地下"/>
      <sheetName val="15-3景观1"/>
      <sheetName val="15-2期样板区"/>
      <sheetName val="电梯清单"/>
      <sheetName val="节奏成本 201402"/>
      <sheetName val="2月经营计划与现版本对比"/>
      <sheetName val="启动版节奏成本"/>
      <sheetName val="启动版与现版本对比"/>
      <sheetName val="15-2、3面积梳理"/>
      <sheetName val="启动版计划与现版本面积指标对比"/>
      <sheetName val="_x0000__x0000__x0000__x0000__x0"/>
      <sheetName val="_x005f_x0000__x005f_x0000__x005"/>
      <sheetName val="日期编号（A）"/>
      <sheetName val="住宅面积明细（B-1)"/>
      <sheetName val="非住宅面积明细（B-2)"/>
      <sheetName val="分期开发安排（B-3）"/>
      <sheetName val="基础资料（B）"/>
      <sheetName val="成本测算（C)"/>
      <sheetName val="项目计划（D)"/>
      <sheetName val="付款计划（E)"/>
      <sheetName val="销售（F）"/>
      <sheetName val="回款（-1)"/>
      <sheetName val="租金（G)"/>
      <sheetName val="税金及留存资产"/>
      <sheetName val="现金流量（H)"/>
      <sheetName val="资金来源与运用(I)"/>
      <sheetName val="写字楼B"/>
      <sheetName val="Note 1 - Recon Profit"/>
      <sheetName val="Cash Flow Statement"/>
      <sheetName val="000000"/>
      <sheetName val="100000"/>
      <sheetName val="Sheet1 "/>
      <sheetName val="Sheet2 "/>
      <sheetName val="47地块汇总"/>
      <sheetName val="现金流 "/>
      <sheetName val="完全成本表"/>
      <sheetName val="土地评估增值摊销"/>
      <sheetName val="3-项目月度销售分解"/>
      <sheetName val="盛世滨江12-1"/>
      <sheetName val="盛世滨江12-2"/>
      <sheetName val="盛世滨江12-3"/>
      <sheetName val="盛世滨江12-4"/>
      <sheetName val="盛世滨江12-5"/>
      <sheetName val="盛世滨江12-8"/>
      <sheetName val="盛世滨江12-9"/>
      <sheetName val="盛世滨江12-10"/>
      <sheetName val="盛世滨江12-11"/>
      <sheetName val="盛世滨江12-12"/>
      <sheetName val="盛世滨江12-13"/>
      <sheetName val="盛世滨江12-14"/>
      <sheetName val="盛世滨江12-15"/>
      <sheetName val="盛世滨江12-16"/>
      <sheetName val="盛世滨江12-17"/>
      <sheetName val="盛世滨江12-18"/>
      <sheetName val="盛世滨江12-19"/>
      <sheetName val="盛世滨江12-20"/>
      <sheetName val="盛世滨江12-21"/>
      <sheetName val="盛世滨江12-22"/>
      <sheetName val="盛世滨江12-23"/>
      <sheetName val="盛世滨江12-24"/>
      <sheetName val="盛世滨江12-25"/>
      <sheetName val="盛世滨江12-26"/>
      <sheetName val="盛世滨江12-27"/>
      <sheetName val="盛世滨江12-28"/>
      <sheetName val="盛世滨江12-29"/>
      <sheetName val="盛世滨江12-30"/>
      <sheetName val="盛世滨江12-31"/>
      <sheetName val="01年合计达成"/>
      <sheetName val="每日C01年达成"/>
      <sheetName val="贝思缇01年达成"/>
      <sheetName val="每日C01年策略检讨"/>
      <sheetName val="贝思缇01年策略检讨"/>
      <sheetName val="市场规模"/>
      <sheetName val="果汁竞争者"/>
      <sheetName val="豆奶竞争者"/>
      <sheetName val="乳酸竞争者"/>
      <sheetName val="新产品SKU"/>
      <sheetName val="每日C02年品牌策略"/>
      <sheetName val="每日C02年广促策略"/>
      <sheetName val="每日C02年营运目标"/>
      <sheetName val="每日C02年分月"/>
      <sheetName val="贝思缇02年品牌策略"/>
      <sheetName val="贝思缇02年广促策略"/>
      <sheetName val="贝思缇02年营运目标"/>
      <sheetName val="贝思缇02年分月"/>
      <sheetName val="豆奶02年品牌策略"/>
      <sheetName val="豆奶02年广促策略"/>
      <sheetName val="豆奶02年营运目标"/>
      <sheetName val="豆奶02年分月"/>
      <sheetName val="乳酸02年品牌策略"/>
      <sheetName val="乳酸02年广促策略"/>
      <sheetName val="乳酸02年营运目标"/>
      <sheetName val="02年总营运目标"/>
      <sheetName val="kpi"/>
      <sheetName val="方针计划一"/>
      <sheetName val="专案"/>
      <sheetName val="贝思缇02年费用"/>
      <sheetName val="豆奶02年费用"/>
      <sheetName val="乳酸02年费用"/>
      <sheetName val="乳酸02年分月"/>
      <sheetName val="新增协议安排"/>
      <sheetName val="协议未转分析"/>
      <sheetName val="在途欠款分析"/>
      <sheetName val="二期高层2013年9月回款"/>
      <sheetName val="二期高层2014年5月回款"/>
      <sheetName val="二期商业2014年5月回款"/>
      <sheetName val="二期高层2013年5月回款"/>
      <sheetName val="经营利润表-明细-5-1-CRLD240000"/>
      <sheetName val="经营利润表-明细-5-1-CRLD250000"/>
      <sheetName val="经营利润表-明细-5-1-CRLD260000"/>
      <sheetName val="经营利润表-明细-5-1-CRLD270000"/>
      <sheetName val="经营利润表-明细-5-1-CRLD650000"/>
      <sheetName val="经营利润表-明细-5-1-CRLD660000"/>
      <sheetName val="经营利润表-明细-5-1-CRLD670000"/>
      <sheetName val="非经营性收入及支出分析表-23"/>
      <sheetName val="资金情况表-27"/>
      <sheetName val="资本性支出表-明细-35-1"/>
      <sheetName val="关联交易"/>
      <sheetName val="重要指标表-47"/>
      <sheetName val="员工人数表-113"/>
      <sheetName val="现金流量表(直接法)-50"/>
      <sheetName val="FS"/>
      <sheetName val="Aging"/>
      <sheetName val="Cash Flow"/>
      <sheetName val="DataSheetIndex_1"/>
      <sheetName val="DataSheetIndex"/>
      <sheetName val="Cell Copy"/>
      <sheetName val="收入预测表"/>
      <sheetName val="资金平衡"/>
      <sheetName val="贷款还款"/>
      <sheetName val="损益表"/>
      <sheetName val="土地售价平衡"/>
      <sheetName val="ANL"/>
      <sheetName val="变量单"/>
      <sheetName val="FISCBAL"/>
      <sheetName val="其他借款利息预算表"/>
      <sheetName val="封面&amp;目录"/>
      <sheetName val="工程概况"/>
      <sheetName val="工程概况描述"/>
      <sheetName val="表11.项目工程费用预算表"/>
      <sheetName val="2013年售价"/>
      <sheetName val="2014年结转收入项目"/>
      <sheetName val="奥园换地"/>
      <sheetName val="鹿角"/>
      <sheetName val="北碚"/>
      <sheetName val="鹿角东"/>
      <sheetName val="鹿角旭辉"/>
      <sheetName val="凯旋路"/>
      <sheetName val="金泰"/>
      <sheetName val="渝兴"/>
      <sheetName val="礼嘉"/>
      <sheetName val="集团表格-1"/>
      <sheetName val="集团表格-2"/>
      <sheetName val="集团表格-3"/>
      <sheetName val="集团-结转产品去化率"/>
      <sheetName val="集团-城市均价"/>
      <sheetName val="2014年预售节点"/>
      <sheetName val="主要产品形式汇总"/>
      <sheetName val="集团-库存资源"/>
      <sheetName val="集团八大管理工具"/>
      <sheetName val="预售节点-新"/>
      <sheetName val="集团-开盘节奏奖励版"/>
      <sheetName val="集团-可售资源奖励版"/>
      <sheetName val="集团-开盘节点奖励版"/>
      <sheetName val="集团-主力产品分析奖励版"/>
      <sheetName val="礼嘉-奖励"/>
      <sheetName val="鹿角东-奖励"/>
      <sheetName val="鹿角-奖励"/>
      <sheetName val="凯旋路-奖励"/>
      <sheetName val="北碚-奖励"/>
      <sheetName val="凡尔赛-奖励"/>
      <sheetName val="嘉德-奖励"/>
      <sheetName val="亚太-奖励"/>
      <sheetName val="奥园-奖励"/>
      <sheetName val="奥园换地-奖励"/>
      <sheetName val="伊顿-奖励"/>
      <sheetName val="金泰-奖励"/>
      <sheetName val="渝兴-奖励"/>
      <sheetName val="鹿角旭辉-奖励"/>
      <sheetName val="售价计划表"/>
      <sheetName val="半年完成"/>
      <sheetName val="集团-指标汇总"/>
      <sheetName val="2014年各版指标"/>
      <sheetName val="简表"/>
      <sheetName val="新增分月"/>
      <sheetName val="2014年新增计划-半年"/>
      <sheetName val="半年调整考核版分月"/>
      <sheetName val="分月汇总表"/>
      <sheetName val="2014年结转收入项目-半年版"/>
      <sheetName val="奥园-半年"/>
      <sheetName val="奥园换地-半年"/>
      <sheetName val="礼嘉-半年"/>
      <sheetName val="凯旋路-半年"/>
      <sheetName val="伊顿-半年"/>
      <sheetName val="亚太-半年"/>
      <sheetName val="嘉德-半年"/>
      <sheetName val="凡尔赛-半年"/>
      <sheetName val="欧麓西-半年"/>
      <sheetName val="欧麓东-半年"/>
      <sheetName val="紫泉枫丹那-半年"/>
      <sheetName val="编号规则说明"/>
      <sheetName val="2期土地"/>
      <sheetName val="2期前期"/>
      <sheetName val="2期建安"/>
      <sheetName val="商管开办费"/>
      <sheetName val="2期市配"/>
      <sheetName val="2期其它"/>
      <sheetName val="公配（不含学校幼儿园）"/>
      <sheetName val="2期商管开办费"/>
      <sheetName val="公配（学校幼儿园部分）"/>
      <sheetName val="变动记录"/>
      <sheetName val="房间信息"/>
      <sheetName val="缺资料表"/>
      <sheetName val="各银行贷款明细表"/>
      <sheetName val="银行贷款明细表"/>
      <sheetName val="盛尚"/>
      <sheetName val="1-5"/>
      <sheetName val="1-5成交"/>
      <sheetName val="6-12"/>
      <sheetName val="6-12成交"/>
      <sheetName val="本月累计"/>
      <sheetName val="管理例会表"/>
      <sheetName val="YTARDPL"/>
      <sheetName val="上海森兰国际G3'户型汇总"/>
      <sheetName val="计算规则"/>
      <sheetName val="家庭起居室"/>
      <sheetName val="餐厅"/>
      <sheetName val="厨房"/>
      <sheetName val="走道"/>
      <sheetName val="次卧 "/>
      <sheetName val="次卧卫生间"/>
      <sheetName val="客房"/>
      <sheetName val="阳台"/>
      <sheetName val="二楼走道"/>
      <sheetName val="楼梯间"/>
      <sheetName val="主卧套房"/>
      <sheetName val="主卧衣帽间"/>
      <sheetName val="主卧卫生间"/>
      <sheetName val="儿童房"/>
      <sheetName val="儿童房卫生间"/>
      <sheetName val="二楼阳台及南侧露台"/>
      <sheetName val="北侧露台"/>
      <sheetName val="户型水电"/>
      <sheetName val="石材主材分析表"/>
      <sheetName val="木饰面主材分析表"/>
      <sheetName val="2014年收入测算"/>
      <sheetName val="白象街"/>
      <sheetName val="玫瑰园"/>
      <sheetName val="1月数据"/>
      <sheetName val="1月每周预计完成情况"/>
      <sheetName val="全年计划"/>
      <sheetName val="2014年全年完成"/>
      <sheetName val="2014年全年完成-指标调整后"/>
      <sheetName val="数据分析"/>
      <sheetName val="2015年新增，合同，回款简表"/>
      <sheetName val="2015年新增计划"/>
      <sheetName val="2015年合同额回款计划"/>
      <sheetName val="LIST"/>
      <sheetName val="备注"/>
      <sheetName val="填表注意事项与沟通部门"/>
      <sheetName val="景观指标"/>
      <sheetName val="含量指标"/>
      <sheetName val="造价指标"/>
      <sheetName val="各类产品建筑标准"/>
      <sheetName val="全期分摊配套明细表"/>
      <sheetName val="六类公摊费用及期间费"/>
      <sheetName val="多层6F"/>
      <sheetName val="小高层11F"/>
      <sheetName val="小高层18F"/>
      <sheetName val="LOFT"/>
      <sheetName val="宽景HOUSE"/>
      <sheetName val="情景洋房"/>
      <sheetName val="叠T"/>
      <sheetName val="密T"/>
      <sheetName val="TH"/>
      <sheetName val="独立别墅"/>
      <sheetName val="高层32F"/>
      <sheetName val="超高层44F"/>
      <sheetName val="架空商业"/>
      <sheetName val="公建商业"/>
      <sheetName val="地价及利息"/>
      <sheetName val="地价及规划"/>
      <sheetName val="各方案利润简表"/>
      <sheetName val="售价简表"/>
      <sheetName val="节奏成本表"/>
      <sheetName val="新付款计划"/>
      <sheetName val="利息资本化 (2)"/>
      <sheetName val="配置标准"/>
      <sheetName val="分期规划指标"/>
      <sheetName val="非建安成本（一期）"/>
      <sheetName val="90别墅"/>
      <sheetName val="建安7+1洋房"/>
      <sheetName val="建安一期（90墅）"/>
      <sheetName val="独栋商业办公"/>
      <sheetName val="建安一期（类独栋）"/>
      <sheetName val="建安一期（商业）"/>
      <sheetName val="建安一期（别墅商业加转换层） "/>
      <sheetName val="建安一期（公寓）"/>
      <sheetName val="建安一期（类独办公）"/>
      <sheetName val="建安一期（高层车库）"/>
      <sheetName val="建安（地基与基础工程）"/>
      <sheetName val="公共部位精装"/>
      <sheetName val="会所及样板房装修"/>
      <sheetName val="二期"/>
      <sheetName val="三期"/>
      <sheetName val="四期"/>
      <sheetName val="建安一期（酒店）"/>
      <sheetName val="金裕天下一期 成本汇总"/>
      <sheetName val="金域天下现金流量表"/>
      <sheetName val="会所改后二期 成本汇总"/>
      <sheetName val="佳兆业1号—在建在售成本测算表-按分期（PPT原表）"/>
      <sheetName val="武汉金裕天下二期 成本汇总"/>
      <sheetName val="三四期金裕天下 成本分类汇总"/>
      <sheetName val="武汉金裕天下PPT原表 在建在售成本测算表-按产品"/>
      <sheetName val="会所改后一期成本汇总"/>
      <sheetName val="佳兆业广场---在建在售成本测算表-按分期"/>
      <sheetName val="在建在售配置标准表"/>
      <sheetName val="Basic FASB 123"/>
      <sheetName val="Enhanced FASB 123"/>
      <sheetName val="Both Models"/>
      <sheetName val="Assumptions and Control Panel"/>
      <sheetName val="资金日报0119"/>
      <sheetName val="余额日报0119"/>
      <sheetName val="江苏"/>
      <sheetName val="二期成本汇总表"/>
      <sheetName val="4号建测（公寓）5.1"/>
      <sheetName val="5号建测（公寓）5.1"/>
      <sheetName val="零星项目综合单价表"/>
      <sheetName val="一期上报变更"/>
      <sheetName val="一期已通过流程变更"/>
      <sheetName val="售楼处签证"/>
      <sheetName val="样板间签证"/>
      <sheetName val="一期签证"/>
      <sheetName val="电梯供货价款明细"/>
      <sheetName val="1#楼参数表"/>
      <sheetName val="2#楼参数表"/>
      <sheetName val="3#楼参数表"/>
      <sheetName val="4#楼参数表"/>
      <sheetName val="5#楼参数表"/>
      <sheetName val="8#楼参数表"/>
      <sheetName val="9#楼参数表"/>
      <sheetName val="10#楼参数表"/>
      <sheetName val="11#楼参数表"/>
      <sheetName val="12#楼参数表"/>
      <sheetName val="13#楼参数表"/>
      <sheetName val="19#楼"/>
      <sheetName val="20#楼参数表 "/>
      <sheetName val="21#楼参数表  "/>
      <sheetName val="15-17#独立基础算量表 "/>
      <sheetName val="桩汇总表"/>
      <sheetName val="根据放坡高度定桩顶标高及挡土背回填"/>
      <sheetName val="混凝土回填"/>
      <sheetName val="排水沟土方计算表"/>
      <sheetName val="16#条基"/>
      <sheetName val="17#楼条基"/>
      <sheetName val="P2"/>
      <sheetName val="应收帐款表-按利润中心-30"/>
      <sheetName val="资本承担及或有负债-43"/>
      <sheetName val="财务比率分析表-63"/>
      <sheetName val="T2损益表(北京)-1-1"/>
      <sheetName val="T2损益表(上诲)-1-2"/>
      <sheetName val="T2损益表(成都)-1-3"/>
      <sheetName val="T2损益表(香港)-1-4"/>
      <sheetName val="T2本月物业销售分析表"/>
      <sheetName val="T2本年累计物业销售分析表"/>
      <sheetName val="T2物业管理分析表"/>
      <sheetName val="T2出租物业分析表"/>
      <sheetName val="T2会所收入分析表"/>
      <sheetName val="T2销售公司收入分析表"/>
      <sheetName val="T2总成本分析表"/>
      <sheetName val="T2成本分析-香港公司"/>
      <sheetName val="T2成本分析-北京物业销售汇总"/>
      <sheetName val="T2成本分析-北京总部"/>
      <sheetName val="T2成本分析-北京项目"/>
      <sheetName val="T2成本分析-上诲项目"/>
      <sheetName val="T2成本分析-成都项目"/>
      <sheetName val="T2成本分析-物业管理"/>
      <sheetName val="T2成本分析-出租物业"/>
      <sheetName val="T2成本分析-会所"/>
      <sheetName val="T2成本分析-其他收入"/>
      <sheetName val="T2项目成本分析表"/>
      <sheetName val="T2项目资金占压分析表"/>
      <sheetName val="T2按揭应收帐分析表"/>
      <sheetName val="T2银行贷款分析表"/>
      <sheetName val="T2房屋明细及土地储备表"/>
      <sheetName val="T2现金流量表-直接法-汇总"/>
      <sheetName val="T2现金流量表-直接法-北京公司"/>
      <sheetName val="T2现金流量表-直接法-上诲公司"/>
      <sheetName val="T2现金流量表-直接法-成都公司"/>
      <sheetName val="T2现金流量表-直接法-香港本部"/>
      <sheetName val="T2财务指标"/>
      <sheetName val="BS-Dummy"/>
      <sheetName val="打印目录"/>
      <sheetName val="CRL"/>
      <sheetName val="CRLBJ"/>
      <sheetName val="总部费用"/>
      <sheetName val="项目费用"/>
      <sheetName val="Sheet38"/>
      <sheetName val="费用成本"/>
      <sheetName val="责任书、启动版与现方案对比"/>
      <sheetName val="综合指标表(一）"/>
      <sheetName val="成本明细表（一期）"/>
      <sheetName val="建安一期（叠拼）"/>
      <sheetName val="建安一期（联排）"/>
      <sheetName val="建安一期（高层平层）"/>
      <sheetName val="建安一期（高层商业加转换层）"/>
      <sheetName val="别墅商业（有屋面）"/>
      <sheetName val="建安一期（别墅车库）"/>
      <sheetName val="建安一期（叠拼车库）"/>
      <sheetName val="公共部位高层精装"/>
      <sheetName val="公共部位叠拼精装"/>
      <sheetName val="市政道路测算"/>
      <sheetName val="景观测算汇总表"/>
      <sheetName val="转换层测算（高层商业）"/>
      <sheetName val="转换层测算（别墅商业）"/>
      <sheetName val="亮桩费用"/>
      <sheetName val="各业态直接成本对比表"/>
      <sheetName val="完全成本审批表-方案版"/>
      <sheetName val="建造成本审批表-方案版"/>
      <sheetName val="责任书、启动会与现方案对比"/>
      <sheetName val="资金成本及财务费用差异分析"/>
      <sheetName val="面积差异影响成本分析"/>
      <sheetName val="各业态量价差异"/>
      <sheetName val="销售收入差异分析"/>
      <sheetName val="11F洋房"/>
      <sheetName val="分产品成本分析"/>
      <sheetName val="8F洋房"/>
      <sheetName val="建安一期（高层平层蓝光）"/>
      <sheetName val="建安一期（高层平层嘉德）"/>
      <sheetName val="建安一期（幼儿园）"/>
      <sheetName val="建安一期（独栋）"/>
      <sheetName val="建安一期（别墅商业）"/>
      <sheetName val="建安一期（洋房、高层、商业车库）"/>
      <sheetName val="景观费用测算"/>
      <sheetName val="会所及样板房装修改"/>
      <sheetName val="差异分析—LJ"/>
      <sheetName val="差异分析—年度—LJ"/>
      <sheetName val="融资计划（贷款明细表）"/>
      <sheetName val="成本明细表（二期）"/>
      <sheetName val="成本明细表（三期）"/>
      <sheetName val="成本明细表（四期）"/>
      <sheetName val="成本明细表（五期）"/>
      <sheetName val="成本明细表（六期）"/>
      <sheetName val="成本明细表（七期）"/>
      <sheetName val="综合指标表（一期）"/>
      <sheetName val="综合指标表（二期）"/>
      <sheetName val="综合指标表（三期）"/>
      <sheetName val="综合指标表（四期）"/>
      <sheetName val="综合指标表（五期）"/>
      <sheetName val="综合指标表（六期）"/>
      <sheetName val="综合指标表（旭辉）"/>
      <sheetName val="中学测算明细 "/>
      <sheetName val="小学测算明细"/>
      <sheetName val="鹿角西中小学汇总"/>
      <sheetName val="方案一 "/>
      <sheetName val="方案二"/>
      <sheetName val="方案三"/>
      <sheetName val="方案四"/>
      <sheetName val="方案五"/>
      <sheetName val="方案六"/>
      <sheetName val="借款台账"/>
      <sheetName val="填表说明"/>
      <sheetName val="管理费用完成情况-区域汇总 "/>
      <sheetName val="不同版本管理费用预算对比"/>
      <sheetName val="管理费用月度滚动表-区域汇总"/>
      <sheetName val="预算调整-区域汇总"/>
      <sheetName val="上海平台"/>
      <sheetName val="上海玫瑰园"/>
      <sheetName val="上海黄浦湾"/>
      <sheetName val="上海唐镇"/>
      <sheetName val="上海五街坊"/>
      <sheetName val="上海玉兰"/>
      <sheetName val="香溢花城"/>
      <sheetName val="盛世滨江"/>
      <sheetName val="虹口启威"/>
      <sheetName val="上海森兰"/>
      <sheetName val="无锡玉兰"/>
      <sheetName val="无锡玉兰西"/>
      <sheetName val="苏州御园"/>
      <sheetName val="苏州玫瑰园"/>
      <sheetName val="常州玉兰"/>
      <sheetName val="无锡香樟园"/>
      <sheetName val="地产"/>
      <sheetName val="城建"/>
      <sheetName val="宜兴"/>
      <sheetName val="融绿汇谊"/>
      <sheetName val="重分类资产负债表"/>
      <sheetName val="利润表"/>
      <sheetName val="华宅3.5精"/>
      <sheetName val="华宅3.2精"/>
      <sheetName val="华宅3.5非精"/>
      <sheetName val="华宅3.2非精"/>
      <sheetName val="111"/>
      <sheetName val="3-异动"/>
      <sheetName val="5-薪酬发放"/>
      <sheetName val="6-招聘进度表"/>
      <sheetName val="7-培训月报"/>
      <sheetName val="Aging Datasheet"/>
      <sheetName val="ECCS_1 DataSheet"/>
      <sheetName val="KPI Datasheet"/>
      <sheetName val="平台汇总"/>
      <sheetName val="在途协议明细"/>
      <sheetName val="一期"/>
      <sheetName val="五期"/>
      <sheetName val="六期"/>
      <sheetName val="跨期"/>
      <sheetName val="数据总表"/>
      <sheetName val="核对总表"/>
      <sheetName val="协议、合同回款统计总表"/>
      <sheetName val="协议在途（请看这张表）"/>
      <sheetName val="合同欠款（请看这张表）"/>
      <sheetName val="协议欠款+合同欠款"/>
      <sheetName val="承兑"/>
      <sheetName val="预计退房退款明细"/>
      <sheetName val="桃花源1-12月实际完成情况"/>
      <sheetName val="1、平面图"/>
      <sheetName val="2、库存底价"/>
      <sheetName val="3、预退房源底价"/>
      <sheetName val="4、破底房源底价重新报批"/>
      <sheetName val="4、售价审批价格实现测算表"/>
      <sheetName val="会计报表审计调整表"/>
      <sheetName val="会计科目表"/>
      <sheetName val="货币资金"/>
      <sheetName val="门窗表-40"/>
      <sheetName val="门窗表-39"/>
      <sheetName val="砌体 (100)"/>
      <sheetName val="砌体"/>
      <sheetName val="窗台"/>
      <sheetName val="二次 (100)"/>
      <sheetName val="二次"/>
      <sheetName val="内墙 (地上)"/>
      <sheetName val="内墙 (地下)"/>
      <sheetName val="计算书-外檐 (2)"/>
      <sheetName val="计算书-外檐"/>
      <sheetName val="计算书 (新)"/>
      <sheetName val="西山责任成本及资金计划汇总"/>
      <sheetName val="工程部"/>
      <sheetName val="财务部"/>
      <sheetName val="设计部"/>
      <sheetName val="拓展部"/>
      <sheetName val="成本部"/>
      <sheetName val="销售中心"/>
      <sheetName val="采购部"/>
      <sheetName val="责任成本归属标准"/>
      <sheetName val="项目部"/>
      <sheetName val="结算及付款计划初稿"/>
      <sheetName val="客户关系中心"/>
      <sheetName val="1#楼分部分项清单"/>
      <sheetName val="2#楼分部分项清单"/>
      <sheetName val="3#楼分部分项清单"/>
      <sheetName val="4#楼分部分项清单"/>
      <sheetName val="5#楼分部分项清单"/>
      <sheetName val="6#楼分部分项清单"/>
      <sheetName val="7#楼分部分项清单"/>
      <sheetName val="幕墙外遮阳工料机分析表（织物）"/>
      <sheetName val="铝合金平开窗工料机分析表（织物） "/>
      <sheetName val="零星项目单价表"/>
      <sheetName val="织物外遮阳主材表"/>
      <sheetName val="1-方案版目标成本审批表"/>
      <sheetName val="2-建造成本审批表"/>
      <sheetName val="3-费用成本"/>
      <sheetName val="4-当期综合指标表"/>
      <sheetName val="5-配置标准表"/>
      <sheetName val="非建安数据"/>
      <sheetName val="6-土地款分摊（占地面积）"/>
      <sheetName val="7-成本汇总表"/>
      <sheetName val="8-O测算"/>
      <sheetName val="9-建造成本汇总表"/>
      <sheetName val="25-成本对比表"/>
      <sheetName val="10--非建安测算表1"/>
      <sheetName val="11-土方及基础工程"/>
      <sheetName val="12-设计费"/>
      <sheetName val="13-甲供材甲分包"/>
      <sheetName val="14-建安测算表-集中商业O"/>
      <sheetName val="15-建安测算表-地下商铺"/>
      <sheetName val="16-建安测算表-办公楼O（1）超高"/>
      <sheetName val="17-建安测算表-办公楼O（2）高层 "/>
      <sheetName val="18-建安测算表-地下车库1"/>
      <sheetName val="19-35KV红号站测算"/>
      <sheetName val="20-地块内红号站费用测算"/>
      <sheetName val="21-分栋号面积"/>
      <sheetName val="22-智能化系统测算"/>
      <sheetName val="23-景观测算"/>
      <sheetName val="24-公用部位精装面积"/>
      <sheetName val="26-空调测算"/>
      <sheetName val="27-电梯测算"/>
      <sheetName val="样板间及售楼处"/>
      <sheetName val="合同分摊"/>
      <sheetName val="标准层户内面积汇总表"/>
      <sheetName val="建安测算表-办公楼N-1、4号楼 "/>
      <sheetName val="节奏成本0"/>
      <sheetName val="桩个数"/>
      <sheetName val="后压浆管延米"/>
      <sheetName val="单桩量"/>
      <sheetName val="降水井立柱"/>
      <sheetName val="灌注桩"/>
      <sheetName val="三轴搅拌桩"/>
      <sheetName val="报价汇总"/>
      <sheetName val="汇总报价"/>
      <sheetName val="表1 高层、配建及车库总包工程"/>
      <sheetName val="表2.1 直接费报价"/>
      <sheetName val="表2.2 措施费报价"/>
      <sheetName val="表2.3 施工措施费报价"/>
      <sheetName val="表4 土方工程报价"/>
      <sheetName val="表5招标楼栋及楼层、预计建筑面积"/>
      <sheetName val="表6拆除工程"/>
      <sheetName val="表7发电机台班"/>
      <sheetName val="表8线条型号参照表"/>
      <sheetName val="2014年分月指标-6月调实"/>
      <sheetName val="新增分析"/>
      <sheetName val="预退明细"/>
      <sheetName val="在途汇总"/>
      <sheetName val="10.01-10.05"/>
      <sheetName val="10.01-10.05成交"/>
      <sheetName val="22-30成交"/>
      <sheetName val="13-19"/>
      <sheetName val="13-19成交"/>
      <sheetName val="20-26"/>
      <sheetName val="20-26成交"/>
      <sheetName val="27-31"/>
      <sheetName val="27-31成交"/>
      <sheetName val="在编人员基本信息"/>
      <sheetName val="非编人员基本信息"/>
      <sheetName val="离职人员名单"/>
      <sheetName val="调动明细"/>
      <sheetName val="西溪山庄人员名单"/>
      <sheetName val="调出人员名单"/>
      <sheetName val="回归绿城人员"/>
      <sheetName val="总监级（2.2确认年薪）"/>
      <sheetName val="管理及后台人员（公佣）"/>
      <sheetName val="销售渠道（个佣）"/>
      <sheetName val="销售渠道个佣比例"/>
      <sheetName val="薪酬费用测算"/>
      <sheetName val="040506利息分摊"/>
      <sheetName val="07利息分摊"/>
      <sheetName val="销控表"/>
      <sheetName val="销售台账"/>
      <sheetName val="退认购退房"/>
      <sheetName val="换房登记"/>
      <sheetName val="库存表"/>
      <sheetName val="车位销控表"/>
      <sheetName val="车位库存表"/>
      <sheetName val="2014年底"/>
      <sheetName val="Knight"/>
      <sheetName val="销售汇总情况表"/>
      <sheetName val="收款表明细"/>
      <sheetName val="特殊情况"/>
      <sheetName val="内部认购"/>
      <sheetName val="统计表1"/>
      <sheetName val="校验总表2014"/>
      <sheetName val="校验总表2015"/>
      <sheetName val="测算底稿"/>
      <sheetName val="管理费用2015"/>
      <sheetName val="销售费用2014"/>
      <sheetName val="销售费用2015"/>
      <sheetName val="资本化利息重测"/>
      <sheetName val="管理费用2016"/>
      <sheetName val="销售费用2016"/>
      <sheetName val="小地块不齐"/>
      <sheetName val="小地块齐"/>
      <sheetName val="大地块不齐"/>
      <sheetName val="大地块齐"/>
      <sheetName val="首付欠款"/>
      <sheetName val="放款"/>
      <sheetName val="数据统计"/>
      <sheetName val="短信发送"/>
      <sheetName val="数据统计 "/>
      <sheetName val="样板间"/>
      <sheetName val="住宅总账"/>
      <sheetName val="车位总账"/>
      <sheetName val="已出证"/>
      <sheetName val="已完税，未出证"/>
      <sheetName val="未完税"/>
      <sheetName val="留房"/>
      <sheetName val="高层汇总表"/>
      <sheetName val="叠拼汇总表"/>
      <sheetName val="商业汇总表"/>
      <sheetName val="高层合同汇总"/>
      <sheetName val="叠拼合同汇总"/>
      <sheetName val="商业合同汇总"/>
      <sheetName val="一期高层台账"/>
      <sheetName val="一期叠拼台账"/>
      <sheetName val="一期商业台账"/>
      <sheetName val="高层底价"/>
      <sheetName val="一期高层底价"/>
      <sheetName val="一期商业"/>
      <sheetName val="叠拼底价"/>
      <sheetName val="叠拼底价+15%"/>
      <sheetName val="商铺报底价（原）"/>
      <sheetName val="1.(3-3#叠拼户型)非地库含量指标（集团）"/>
      <sheetName val="面积指标表（重庆公司）"/>
      <sheetName val="非地库含量指标（重庆）"/>
      <sheetName val="项目特征"/>
      <sheetName val="建安（叠拼别墅）"/>
      <sheetName val="编制说明及计价规则"/>
      <sheetName val="模拟总价表"/>
      <sheetName val="综合单价表"/>
      <sheetName val="不玻栏1100"/>
      <sheetName val="不玻栏650"/>
      <sheetName val="铝玻璃1100"/>
      <sheetName val="铝玻璃650"/>
      <sheetName val="阳矩管1100"/>
      <sheetName val="阳矩管650"/>
      <sheetName val="阳台花1-1150"/>
      <sheetName val="阳台花1-650"/>
      <sheetName val="阳台花1-1150 (钢扶手)"/>
      <sheetName val="阳台花1-650 (钢扶手)"/>
      <sheetName val="阳台花2-1150"/>
      <sheetName val="阳台花2-650"/>
      <sheetName val="护900"/>
      <sheetName val="楼900"/>
      <sheetName val="楼梯花900"/>
      <sheetName val="靠墙扶手"/>
      <sheetName val="残坡道"/>
      <sheetName val="护900 (简易)"/>
      <sheetName val="楼900 (简易)"/>
      <sheetName val="材料配置表"/>
      <sheetName val="项目造价确认单"/>
      <sheetName val="差异分析-QY"/>
      <sheetName val="差异分析-年度-QY"/>
      <sheetName val="2015年管理费用(启洋）"/>
      <sheetName val="2015年管理费用(中心)"/>
      <sheetName val="全期规划指标"/>
      <sheetName val="当期规划指标"/>
      <sheetName val="可售单方成本汇总表"/>
      <sheetName val="地价分摊表"/>
      <sheetName val="公摊费用"/>
      <sheetName val="办公楼"/>
      <sheetName val="SOHO"/>
      <sheetName val="地上商业（可售）"/>
      <sheetName val="普通住宅"/>
      <sheetName val="地下商业（可售）"/>
      <sheetName val="地上停车场（可售）"/>
      <sheetName val="地上商业（持有）"/>
      <sheetName val="地下商业（持有）"/>
      <sheetName val="地上停车场（持有）"/>
      <sheetName val="夹层非机动车库"/>
      <sheetName val="公建配套"/>
      <sheetName val="设备 用房"/>
      <sheetName val="地下人防"/>
      <sheetName val="酒店"/>
      <sheetName val="学校"/>
      <sheetName val="设备用房"/>
      <sheetName val="社区用房"/>
      <sheetName val="付款资金计划"/>
      <sheetName val="全周期现金流"/>
      <sheetName val="含二期投入产出表"/>
      <sheetName val="不含二期投入产出"/>
      <sheetName val="7月开发运营PPT现金流（不含二期）"/>
      <sheetName val="7月开发运营PPT现金流（含二期）"/>
      <sheetName val="成本核对报告2007-2月"/>
      <sheetName val="成本差异表1区"/>
      <sheetName val="调节表2区"/>
      <sheetName val="调节表3区"/>
      <sheetName val="调节表4区"/>
      <sheetName val="调节表公建"/>
      <sheetName val="调节表会所"/>
      <sheetName val="调节表幼儿园"/>
      <sheetName val="TB7.2(总表）"/>
      <sheetName val="TN7.2.0（公建）"/>
      <sheetName val="TB7.02.1（一区）"/>
      <sheetName val="TB7.2.2（二区）"/>
      <sheetName val="TB7.2.3（三区）"/>
      <sheetName val="TB7.2.4（四区）"/>
      <sheetName val="TB7.2.5（会所）"/>
      <sheetName val="TB7.2.6（幼儿园）"/>
      <sheetName val="一期 "/>
      <sheetName val="12、三期"/>
      <sheetName val="绍兴含办公楼"/>
      <sheetName val="宁波世界湾(含商业)"/>
      <sheetName val="宁波春晓（含商业）"/>
      <sheetName val="佘姚"/>
      <sheetName val="象山"/>
      <sheetName val="表1-现金流量表（PPT-P38）"/>
      <sheetName val="表2-利润预测情况（PPT-P46）"/>
      <sheetName val="表3-总体经营状况（PPT-P16)"/>
      <sheetName val="表4-自持物业（PPT-P17）"/>
      <sheetName val="表7.1-成本测算表-按产品（PPT-P33）成本"/>
      <sheetName val="表6-销售计划2015分月（PPT-P26）"/>
      <sheetName val="表7.2-成本测算表-按分期（PPT-P33）只有一期"/>
      <sheetName val="表8-融资情况（PPT-P40）"/>
      <sheetName val="表9-处置计划"/>
      <sheetName val="0Lh8cS"/>
      <sheetName val="单体综合造价"/>
      <sheetName val="VwXTiE"/>
      <sheetName val="hDFyz1"/>
      <sheetName val="土增税测算"/>
      <sheetName val="土方、防水工程量"/>
      <sheetName val="土地价款分摊"/>
      <sheetName val="土地情况"/>
      <sheetName val="税费说明"/>
      <sheetName val="主要工程量"/>
      <sheetName val="造价指标分析"/>
      <sheetName val="混凝土工程量指标"/>
      <sheetName val="销售价格"/>
      <sheetName val="小高层"/>
      <sheetName val="联排别墅"/>
      <sheetName val="商业中心"/>
      <sheetName val="配套商业"/>
      <sheetName val="公共配套"/>
      <sheetName val="人防地下车库"/>
      <sheetName val="一期规划指标"/>
      <sheetName val="三期规划指标"/>
      <sheetName val="四期规划指标"/>
      <sheetName val="一期可售单方成本汇总表"/>
      <sheetName val="二期可售单方成本汇总表 "/>
      <sheetName val="三期可售单方成本汇总表 "/>
      <sheetName val="四期可售单方成本汇总表 "/>
      <sheetName val="一期公摊费用"/>
      <sheetName val="二期公摊费用 "/>
      <sheetName val="三期公摊费用"/>
      <sheetName val="四期公摊费用"/>
      <sheetName val="一期高层"/>
      <sheetName val="二期高层（回迁房）"/>
      <sheetName val="三期高层"/>
      <sheetName val="四期高层"/>
      <sheetName val="综合楼"/>
      <sheetName val="沿街商铺一期"/>
      <sheetName val="沿街商铺四期"/>
      <sheetName val="自持商业"/>
      <sheetName val="建筑物基底面积及土地分摊表"/>
      <sheetName val="物业用房"/>
      <sheetName val="利润共赢计算表 ----"/>
      <sheetName val="1-利润表"/>
      <sheetName val="1.1-单方利润表"/>
      <sheetName val="2-销售计划表"/>
      <sheetName val="3-目标成本"/>
      <sheetName val="4-土增税"/>
      <sheetName val="9-年化收益"/>
      <sheetName val="中商地产"/>
      <sheetName val="5-融资计划表"/>
      <sheetName val="6-现金流"/>
      <sheetName val="7-年化收益表"/>
      <sheetName val="高层"/>
      <sheetName val="沿街商铺"/>
      <sheetName val="销售及回款"/>
      <sheetName val="留存资产"/>
      <sheetName val="开发计划"/>
      <sheetName val="日期编号"/>
      <sheetName val="预算对比"/>
      <sheetName val="Control Sheet"/>
      <sheetName val="投资评价指标"/>
      <sheetName val="敏感分析"/>
      <sheetName val="项目损益"/>
      <sheetName val="销售面积"/>
      <sheetName val="资金来源与运用表"/>
      <sheetName val="土地版规划指标及利润测算"/>
      <sheetName val="主体结构及粗装修单价分析"/>
      <sheetName val="初设版成本测算"/>
      <sheetName val="配套设施成本测算"/>
      <sheetName val="土地面积分摊"/>
      <sheetName val="项目整体"/>
      <sheetName val="高层住宅"/>
      <sheetName val="商业服务中心"/>
      <sheetName val="年化收益"/>
      <sheetName val="表6.在建项目变更签证统计表"/>
      <sheetName val="统计过程表"/>
      <sheetName val="10.01-10.27发生（透视）"/>
      <sheetName val="10月发生（手工）"/>
      <sheetName val="Query"/>
      <sheetName val="扣总包"/>
      <sheetName val="酒五对比表"/>
      <sheetName val="360Qex"/>
      <sheetName val="Recovered_Sheet1"/>
      <sheetName val="铺装—商业（红线外）"/>
      <sheetName val="铺装—商业（红线内）"/>
      <sheetName val="铺装—住宅"/>
      <sheetName val="苗木（区内苗木表）"/>
      <sheetName val="苗木（区外苗木表）"/>
      <sheetName val="附表一（主要材料品牌表）"/>
      <sheetName val="駿達-FASTCOME"/>
      <sheetName val="安裕-ONTOP"/>
      <sheetName val="金源-GR"/>
      <sheetName val="亞洲殺蟲"/>
      <sheetName val="OTHER"/>
      <sheetName val="索引"/>
      <sheetName val="其他应收款帐龄分析"/>
      <sheetName val="短期借款"/>
      <sheetName val="应付帐款"/>
      <sheetName val="未交税金"/>
      <sheetName val="增值税"/>
      <sheetName val="其他应付款"/>
      <sheetName val="应付工资"/>
      <sheetName val="应付福利费"/>
      <sheetName val="预提费用"/>
      <sheetName val="所有者权益"/>
      <sheetName val="销售成本调节表"/>
      <sheetName val="或有负债"/>
      <sheetName val="关联方余额"/>
      <sheetName val="关联交易额"/>
      <sheetName val="主要指标"/>
      <sheetName val="现金流编制原则"/>
      <sheetName val="Sheet37"/>
      <sheetName val="面积101"/>
      <sheetName val="利润分析表"/>
      <sheetName val="现金流量表 股东不计息 (考虑退土增)"/>
      <sheetName val="现金流量表股东计息 (考虑退土增)"/>
      <sheetName val="现金流量表 股东不计息"/>
      <sheetName val="敏感性分析"/>
      <sheetName val="最新指标"/>
      <sheetName val="最新指标 (1)"/>
      <sheetName val="最新指标 (2)"/>
      <sheetName val="融资计划"/>
      <sheetName val="土增测算"/>
      <sheetName val="土增预缴"/>
      <sheetName val="土增修改"/>
      <sheetName val="精装高层"/>
      <sheetName val="商业"/>
      <sheetName val="公共配套费表"/>
      <sheetName val="递增表"/>
      <sheetName val="DK1"/>
      <sheetName val="展示区（DK1）"/>
      <sheetName val="DK4"/>
      <sheetName val="DK6"/>
      <sheetName val="DK4估算"/>
      <sheetName val="动态调整分析表"/>
      <sheetName val="动态成本控制表 "/>
      <sheetName val="合同管理台账"/>
      <sheetName val="无合同付款台账"/>
      <sheetName val="变更台账"/>
      <sheetName val="签证台账"/>
      <sheetName val="水电台账"/>
      <sheetName val="认价台账"/>
      <sheetName val="收方单台账"/>
      <sheetName val="成本核算口径"/>
      <sheetName val="0"/>
      <sheetName val="集团汇总表"/>
      <sheetName val="集团本部"/>
      <sheetName val="蔚蓝.青城"/>
      <sheetName val="蔚蓝.锦城"/>
      <sheetName val="蔚蓝.悦城"/>
      <sheetName val="蔚蓝.春城"/>
      <sheetName val="三号会馆"/>
      <sheetName val="天朗.御湖二期"/>
      <sheetName val="天朗.御湖三期"/>
      <sheetName val="天朗.御湖酒店"/>
      <sheetName val="跨界"/>
      <sheetName val="蔚蓝.时光"/>
      <sheetName val="蔚蓝.领域"/>
      <sheetName val="蔚蓝.观园"/>
      <sheetName val="丝路酒店"/>
      <sheetName val="七色镇A"/>
      <sheetName val="七色镇B"/>
      <sheetName val="蔚蓝小城"/>
      <sheetName val="蓝湖树酒店"/>
      <sheetName val="蓝湖树一期"/>
      <sheetName val="蓝湖树二期"/>
      <sheetName val="昆山项目"/>
      <sheetName val="黑龙潭项目"/>
      <sheetName val="项目责任书-封面G01SH"/>
      <sheetName val="项目责任书-项目指标G01SH"/>
      <sheetName val="项目责任书-预算明细G01SH"/>
      <sheetName val="项目责任书-项目考核指标G01SH"/>
      <sheetName val="项目责任书-时间节点G01SH"/>
      <sheetName val="项目责任书-现金流量表G01SH"/>
      <sheetName val="项目月度考核指标G01SH"/>
      <sheetName val="项目月度预算执行情况表G01SH"/>
      <sheetName val="公司月度考核指标—各部门完成"/>
      <sheetName val="公司现金流量—成本管理、财务完成"/>
      <sheetName val="公司人资情况—运营、综管完成"/>
      <sheetName val="青浦项目月度考核指标—各部门完成"/>
      <sheetName val="奉贤项目月度考核指标—各部门完成"/>
      <sheetName val="管理规划及进展—各部门完成"/>
      <sheetName val="月度招标计划—各部门完成"/>
      <sheetName val="青浦项目成本动态分析—成本管理完成"/>
      <sheetName val="奉贤项目成本动态分析—成本管理完成"/>
      <sheetName val="青浦销售情况—销售完成"/>
      <sheetName val="奉贤销售情况——销售完成"/>
      <sheetName val="项目招标单位—各部门完成"/>
      <sheetName val="项目合作单位—各部门完成"/>
      <sheetName val="材料（设备）招标汇总表—成本管理完成"/>
      <sheetName val="基础数据"/>
      <sheetName val="住宅单体指标"/>
      <sheetName val="建造标准"/>
      <sheetName val="投资计划表"/>
      <sheetName val="公摊费用及期间费"/>
      <sheetName val="目标成本控制表"/>
      <sheetName val="平层高层"/>
      <sheetName val="复式高层"/>
      <sheetName val="底商"/>
      <sheetName val="合同登记表"/>
      <sheetName val="人防地库"/>
      <sheetName val="合约口径"/>
      <sheetName val="成本差异对比"/>
      <sheetName val="附件2"/>
      <sheetName val="附件3"/>
      <sheetName val="附件4"/>
      <sheetName val="销售物业"/>
      <sheetName val="基本数据"/>
      <sheetName val="岗位人员"/>
      <sheetName val="标准模板"/>
      <sheetName val="基础数据表"/>
      <sheetName val="图示意"/>
      <sheetName val="审批表"/>
      <sheetName val="岗位表"/>
      <sheetName val="考核表"/>
      <sheetName val="1.1玻璃幕墙工程量清单"/>
      <sheetName val="玻璃幕墙基础组价表"/>
      <sheetName val="1.2玻璃幕墙单价分析以这个为准"/>
      <sheetName val="2.1石材幕墙工程量清单"/>
      <sheetName val="2.2石材幕墙单价分析"/>
      <sheetName val="石材幕墙基础组价表"/>
      <sheetName val="3.1铝单板工程量清单"/>
      <sheetName val="3.2铝板单价分析"/>
      <sheetName val="铝单板基础组价表"/>
      <sheetName val="4.1镀锌钢板工程量清单"/>
      <sheetName val="4.2镀锌钢板单价分析 "/>
      <sheetName val="5.1地弹门工程量清单"/>
      <sheetName val="5.2地弹门单价分析"/>
      <sheetName val="6.1雨棚工程量清单"/>
      <sheetName val="6.2雨棚单价分析"/>
      <sheetName val="雨篷组价基础表"/>
      <sheetName val="7.1岩棉工程"/>
      <sheetName val="7.2岩棉工程单价分析"/>
      <sheetName val="岩棉基础组价表"/>
      <sheetName val="A户型装修"/>
      <sheetName val="B户型装修"/>
      <sheetName val="甲分包"/>
      <sheetName val="甲分包-A户型"/>
      <sheetName val="甲分包-A户型 (2)"/>
      <sheetName val="甲分包-B户型"/>
      <sheetName val="材料明细表"/>
      <sheetName val="14年制度前本月到账明细"/>
      <sheetName val="7月份部门回款-完成"/>
      <sheetName val="7月指标完成情况（综合版）-完成"/>
      <sheetName val="本月到账明细-完成"/>
      <sheetName val="销售提成-完成"/>
      <sheetName val="7月综合评定标准-完成"/>
      <sheetName val="御园销售管理线人员奖金-完成"/>
      <sheetName val="御园管理人员奖金(纯后台人员)-完成"/>
      <sheetName val="现金奖励-完成"/>
      <sheetName val="本月到账明细"/>
      <sheetName val="6月份部门回款"/>
      <sheetName val="6月指标完成情况（综合版）"/>
      <sheetName val="6月综合评定标准"/>
      <sheetName val="销售提成"/>
      <sheetName val="御园销售管理线人员奖金"/>
      <sheetName val="御园管理人员奖金(纯后台人员)"/>
      <sheetName val="现金奖励"/>
      <sheetName val="御园销售管理线人员奖金 (2)"/>
      <sheetName val="台账（以此版台账为准）"/>
      <sheetName val="协议口径（管理口径制作）"/>
      <sheetName val="合同状态（款齐）"/>
      <sheetName val="9-12月指标"/>
      <sheetName val="年中考核"/>
      <sheetName val="合同状态（款不齐）"/>
      <sheetName val="协议口径（管理口径制作）以此版为准"/>
      <sheetName val="款齐-合同状态"/>
      <sheetName val="合同状态（款不齐2）"/>
      <sheetName val="签约台账"/>
      <sheetName val="按揭情况表"/>
      <sheetName val="在途回款率 -香溢"/>
      <sheetName val="在途回款率 -上海御园"/>
      <sheetName val="在途回款率 -上海大宁北"/>
      <sheetName val="在途回款率 -上海玫瑰园"/>
      <sheetName val="在途回款率 -玉兰臻园"/>
      <sheetName val="在途回款率 -盛世滨江"/>
      <sheetName val="在途回款率 -玉兰公馆"/>
      <sheetName val="在途回款率 -上海玉兰花园"/>
      <sheetName val="在途回款率 -上海外滩188"/>
      <sheetName val="在途回款率 -苏州御园"/>
      <sheetName val="在途回款率 -苏州桃花源"/>
      <sheetName val="在途回款率 -无锡香樟园"/>
      <sheetName val="在途回款率 -无锡玉兰"/>
      <sheetName val="在途回款率 -无锡玉兰西"/>
      <sheetName val="在途回款率 -汣园"/>
      <sheetName val="在途回款率 -熙园"/>
      <sheetName val="在途回款率 -常州玉兰"/>
      <sheetName val="分月回款及按揭放款"/>
      <sheetName val="第四周"/>
      <sheetName val="第一周"/>
      <sheetName val="第二周"/>
      <sheetName val="8号17号12号楼石材汇总"/>
      <sheetName val="对量"/>
      <sheetName val="增量汇总"/>
      <sheetName val="8#17#铝单板工程量原图（没算）"/>
      <sheetName val="注意事项"/>
      <sheetName val="诚意金"/>
      <sheetName val="定金"/>
      <sheetName val="房款"/>
      <sheetName val="五期调整指标"/>
      <sheetName val="综合指标"/>
      <sheetName val="五期指标"/>
      <sheetName val="理想城市五期别墅成本"/>
      <sheetName val="成本对比"/>
      <sheetName val="成本与经营计划对比"/>
      <sheetName val="景观工程测算1"/>
      <sheetName val="经营计划"/>
      <sheetName val="景观工程测算"/>
      <sheetName val="别墅建安调整"/>
      <sheetName val="别墅建安对比"/>
      <sheetName val="公摊1"/>
      <sheetName val="公摊"/>
      <sheetName val="住宅商业汇总表"/>
      <sheetName val="别墅建安 (2)"/>
      <sheetName val="洋房 (2)"/>
      <sheetName val="设计费测算 (华汇调后)"/>
      <sheetName val="车库成本测算"/>
      <sheetName val="库存"/>
      <sheetName val="一期合院底价"/>
      <sheetName val="一期平层底价"/>
      <sheetName val="二期合院底价"/>
      <sheetName val="二期平层底价"/>
      <sheetName val="平面图"/>
      <sheetName val="具体协议分布"/>
      <sheetName val="合并表"/>
      <sheetName val="植物清单"/>
      <sheetName val="甲供植物"/>
      <sheetName val="代征地植物"/>
      <sheetName val="代征地甲供植物"/>
      <sheetName val="包干项目"/>
      <sheetName val="零星工作项目人工、机械单价报价表"/>
      <sheetName val="汇总（回款表）"/>
      <sheetName val="汇总 (预售资金监管)"/>
      <sheetName val="住宅"/>
      <sheetName val="签约情况(住宅）"/>
      <sheetName val="签约情况(非住宅）"/>
      <sheetName val="住宅 (退款)"/>
      <sheetName val="loft (退款)"/>
      <sheetName val="商业 (退款)"/>
      <sheetName val="转款"/>
      <sheetName val="提取"/>
      <sheetName val="月度情况"/>
      <sheetName val="二期车位排卡明细"/>
      <sheetName val="回款"/>
      <sheetName val="往来"/>
      <sheetName val="现金"/>
      <sheetName val="现金盘点表"/>
      <sheetName val="建行基本户"/>
      <sheetName val="建行一般户"/>
      <sheetName val="中行四府街8821"/>
      <sheetName val="中行四府街8821在途"/>
      <sheetName val="中行大差市2044"/>
      <sheetName val="邮政储蓄26700"/>
      <sheetName val="中信含光路90331"/>
      <sheetName val="中信含光路91548"/>
      <sheetName val="兴业曲江18757"/>
      <sheetName val="兴业曲江18757 在途"/>
      <sheetName val="兴业曲江18757 保证金"/>
      <sheetName val="开发间接"/>
      <sheetName val="其他明细"/>
      <sheetName val="1#楼89户型"/>
      <sheetName val="1#楼119户型"/>
      <sheetName val="6#楼139户型"/>
      <sheetName val="组价基础表"/>
      <sheetName val="望江府销售计划wjf2014.1.3-考核版调实版.xlsx"/>
      <sheetName val="科目余额表1402"/>
      <sheetName val="科目余额表930"/>
      <sheetName val="IRR (2)"/>
      <sheetName val="直接成本测算"/>
      <sheetName val="WJF财务收款表"/>
      <sheetName val="资金占用费"/>
      <sheetName val="13销售费"/>
      <sheetName val="14销售费"/>
      <sheetName val="15销售费"/>
      <sheetName val="13管理费"/>
      <sheetName val="14及15管理费"/>
      <sheetName val="股东计息2ytwjy"/>
      <sheetName val="委贷计息【付过第一笔之后"/>
      <sheetName val="利息zbh计算"/>
      <sheetName val="利息zbh基础数据"/>
      <sheetName val="2014销售费用1031旧表"/>
      <sheetName val="2014销售费用20131228"/>
      <sheetName val="科目余额表2013.11"/>
      <sheetName val="科目余额表1401"/>
      <sheetName val="2013销售费用【新 (取数用 引用到2014)"/>
      <sheetName val="科目余额表1031"/>
      <sheetName val="13销售费1031旧"/>
      <sheetName val="综合指标表(4期）"/>
      <sheetName val="非建安成本（四期）"/>
      <sheetName val="建安（联排别墅）"/>
      <sheetName val="建安（10+1洋房）"/>
      <sheetName val="建安（公寓地块商业）"/>
      <sheetName val="建安（独立商业地块商业）"/>
      <sheetName val="建安（独栋办公）"/>
      <sheetName val="建安（类独办公）(住宅)"/>
      <sheetName val="建安（高层、商业车库）"/>
      <sheetName val="建安（别墅车库）"/>
      <sheetName val="建安（法式酒店）"/>
      <sheetName val="建安（5.1M公寓）"/>
      <sheetName val="建安（3.3M酒店）"/>
      <sheetName val="综合指标表(1期）"/>
      <sheetName val="综合指标表(2期）"/>
      <sheetName val="综合指标表(3期)"/>
      <sheetName val="照母山二期别墅报价汇总表"/>
      <sheetName val="悦来别墅展示区汇总表"/>
      <sheetName val="6、8#"/>
      <sheetName val="悦来钢副框汇总表"/>
      <sheetName val="钢副框报价"/>
      <sheetName val="型材"/>
      <sheetName val="五金件"/>
      <sheetName val="悦来大联排别墅52#"/>
      <sheetName val="悦来大联排别墅B58#"/>
      <sheetName val="小六联排(39#、59#)"/>
      <sheetName val="双拼 B60#"/>
      <sheetName val="双拼B61#"/>
      <sheetName val="62#商业"/>
      <sheetName val="63#商业"/>
      <sheetName val="62#、63#百页耗量表"/>
      <sheetName val="M0821"/>
      <sheetName val="M0921"/>
      <sheetName val="DK0824"/>
      <sheetName val="M0824&quot;"/>
      <sheetName val="M0924"/>
      <sheetName val="DK1221&quot;"/>
      <sheetName val="M1222"/>
      <sheetName val="M1221"/>
      <sheetName val="DK1221"/>
      <sheetName val="TLM1521"/>
      <sheetName val="TLM1821"/>
      <sheetName val="M1521"/>
      <sheetName val="M2124"/>
      <sheetName val="TM1827"/>
      <sheetName val="C0617&quot;"/>
      <sheetName val="DK0617&quot;"/>
      <sheetName val="DK0618&quot;"/>
      <sheetName val="C0618&quot;"/>
      <sheetName val="C0620&quot;"/>
      <sheetName val="DK0620&quot;"/>
      <sheetName val="C0621"/>
      <sheetName val="C0622"/>
      <sheetName val="C0522"/>
      <sheetName val="C0623"/>
      <sheetName val="DK0720&quot;"/>
      <sheetName val="DK0722"/>
      <sheetName val="C0918"/>
      <sheetName val="C0918&quot;"/>
      <sheetName val="C0920&quot;"/>
      <sheetName val="DK0520"/>
      <sheetName val="DK0522"/>
      <sheetName val="DK0523"/>
      <sheetName val="C1821"/>
      <sheetName val="C2118"/>
      <sheetName val="DK2120"/>
      <sheetName val="DK2122"/>
      <sheetName val="DK2123"/>
      <sheetName val="C2121"/>
      <sheetName val="DK3018&quot;"/>
      <sheetName val="DK3022"/>
      <sheetName val="DK1517&quot;"/>
      <sheetName val="C1517&quot;"/>
      <sheetName val="C1518&quot;"/>
      <sheetName val="C1520&quot;"/>
      <sheetName val="DK1520&quot;推"/>
      <sheetName val="C1520&quot;推"/>
      <sheetName val="C1522"/>
      <sheetName val="C1817&quot;"/>
      <sheetName val="DK1817&quot;"/>
      <sheetName val="C1818&quot;"/>
      <sheetName val="C1819"/>
      <sheetName val="DK1819"/>
      <sheetName val="C1820&quot;"/>
      <sheetName val="C3019&quot;"/>
      <sheetName val="DK1820&quot;"/>
      <sheetName val="DK1822"/>
      <sheetName val="C1822"/>
      <sheetName val="C2117&quot;"/>
      <sheetName val="C2118&quot;"/>
      <sheetName val="C2119"/>
      <sheetName val="C2120&quot;"/>
      <sheetName val="C2122"/>
      <sheetName val="HC2126"/>
      <sheetName val="C1213&quot;"/>
      <sheetName val="DK1217&quot;"/>
      <sheetName val="C1217&quot;"/>
      <sheetName val="DK12119"/>
      <sheetName val="C1122"/>
      <sheetName val="C1220&quot;"/>
      <sheetName val="C1221"/>
      <sheetName val="C1222"/>
      <sheetName val="C1223"/>
      <sheetName val="HDK1223"/>
      <sheetName val="HDK1222"/>
      <sheetName val="HC1固定"/>
      <sheetName val="HC2固定"/>
      <sheetName val="M1526."/>
      <sheetName val="M1626"/>
      <sheetName val="M1626."/>
      <sheetName val="M1826."/>
      <sheetName val="MC2626"/>
      <sheetName val="MC2626."/>
      <sheetName val="MC2826."/>
      <sheetName val="MC3726"/>
      <sheetName val="MC3726."/>
      <sheetName val="C0926"/>
      <sheetName val="C1533"/>
      <sheetName val="HC1633"/>
      <sheetName val="HC1833"/>
      <sheetName val="C1537."/>
      <sheetName val="C1637"/>
      <sheetName val="C1641."/>
      <sheetName val="C1513&quot;"/>
      <sheetName val="BY0910B"/>
      <sheetName val="BY1810B"/>
      <sheetName val="BY2310B"/>
      <sheetName val="BY2610B"/>
      <sheetName val="BY2610C"/>
      <sheetName val="BY3011"/>
      <sheetName val="BY3710B"/>
      <sheetName val="HBY3710B"/>
      <sheetName val="55"/>
      <sheetName val="GC0806"/>
      <sheetName val="GC0808"/>
      <sheetName val="GC0809"/>
      <sheetName val="C1606"/>
      <sheetName val="C1806"/>
      <sheetName val="C1619"/>
      <sheetName val="LC1221"/>
      <sheetName val="费用统计 (A)"/>
      <sheetName val="混凝土"/>
      <sheetName val="防水保温"/>
      <sheetName val="内装部分"/>
      <sheetName val="内装主要材料询价表"/>
      <sheetName val="标识标牌询价表"/>
      <sheetName val="幕墙成本单价分析表"/>
      <sheetName val="幕墙主要材料询价表"/>
      <sheetName val="EVALUATE景观"/>
      <sheetName val="编制说明 "/>
      <sheetName val="变更部分 (3) "/>
      <sheetName val="累计利润表"/>
      <sheetName val="规划面积"/>
      <sheetName val="_Recovered_SheetName_ 0_"/>
      <sheetName val="标底评审表"/>
      <sheetName val="公共部分安装部分清单"/>
      <sheetName val="户内安装部分清单 "/>
      <sheetName val="水电总包标底指标提取表"/>
      <sheetName val="总包标底单项清单评审表 "/>
      <sheetName val="0707版价格表"/>
      <sheetName val="报价模板-"/>
      <sheetName val="水电安装"/>
      <sheetName val="软景工程"/>
      <sheetName val="表1、虚拟项目或方案阶段资金计划"/>
      <sheetName val="表2、在建项目资金计划表（锦绣城3号地）"/>
      <sheetName val="表2、在建项目资金计划表（锦绣城停车楼）"/>
      <sheetName val="建筑指标表（原方案版）"/>
      <sheetName val="民用项目指标4.19"/>
      <sheetName val="COCO时代商业层高调整指标对比"/>
      <sheetName val="差异分析表 (各阶段)"/>
      <sheetName val="各阶段面积指标"/>
      <sheetName val="差异分析表 (COCO时代拿地版与方案版)"/>
      <sheetName val="差异分析表 (COCO时代策划版与方案版) "/>
      <sheetName val="差异分析表 (弹子石与彩云府)"/>
      <sheetName val="面积差异分析表"/>
      <sheetName val="全周期汇总表（按可售面积）"/>
      <sheetName val="差异分析表 (C地块调整与原方案版) "/>
      <sheetName val="差异分析表-"/>
      <sheetName val="全周期汇总表 (按规划面积)"/>
      <sheetName val="汇总计算书"/>
      <sheetName val="建安工程费（ALL)"/>
      <sheetName val="建安工程费（临街商业）"/>
      <sheetName val="建安工程费（独栋商业）"/>
      <sheetName val="建安工程费（LOFT）"/>
      <sheetName val="建安工程费（复式住宅)"/>
      <sheetName val="建安工程费（平层住宅）"/>
      <sheetName val="附2、成本预算 (重庆蓝光·COCO时代项目-010）"/>
      <sheetName val="动态跟踪表（2号地兴慧钢构）"/>
      <sheetName val="动态跟踪表3号地块【四川金湛】"/>
      <sheetName val="动态跟踪表（五冶）"/>
      <sheetName val="2号地公共区域（四川中源）"/>
      <sheetName val="3号地5-13号楼住宅公共区域墙地砖 "/>
      <sheetName val="动态跟踪表（燃气1）"/>
      <sheetName val="动态跟踪表(燃气)"/>
      <sheetName val="动态跟踪表(达臻意泰)"/>
      <sheetName val="动态跟踪表(海祥)"/>
      <sheetName val="动态跟踪表【华达】"/>
      <sheetName val="动态跟踪表（科友1号地）"/>
      <sheetName val="动态跟踪表（科友3号商业）"/>
      <sheetName val="动态跟踪表(磊森) "/>
      <sheetName val="动态跟踪表（通力电梯）"/>
      <sheetName val="动态跟踪表（1号地准量行）"/>
      <sheetName val="动态跟踪表（东芝电梯）"/>
      <sheetName val="动态跟踪表（新多）"/>
      <sheetName val="动态跟踪表（商业燃气）"/>
      <sheetName val="动态跟踪表（艺海）"/>
      <sheetName val="动态跟踪表（中源）"/>
      <sheetName val="动态跟踪表（锦发)"/>
      <sheetName val="动态跟踪表(江苏江都)"/>
      <sheetName val="动态跟踪表（大地阳光)"/>
      <sheetName val="动态跟踪表（四川裕瑞)"/>
      <sheetName val="动态跟踪表（鸿翔外装)"/>
      <sheetName val="动态跟踪表（四川亿隆）1"/>
      <sheetName val="动态跟踪表（四川亿隆）"/>
      <sheetName val="动态跟踪表（四川正太）"/>
      <sheetName val="动态跟踪表（四川裕瑞）2"/>
      <sheetName val="动态跟踪表（兴盛泰）"/>
      <sheetName val="动态跟踪表（厦门万安智能）"/>
      <sheetName val="动态跟踪表（安泰消防钢制）"/>
      <sheetName val="动态跟踪表（昌荣-179)"/>
      <sheetName val="动态跟踪表（新多2号地) "/>
      <sheetName val="动态跟踪表（成都供配电）"/>
      <sheetName val="动态跟踪表（千嘉科技）"/>
      <sheetName val="动态跟踪表（天开）"/>
      <sheetName val="动态跟踪表（中节能）"/>
      <sheetName val="动态跟踪表（明清监理）"/>
      <sheetName val="动态跟踪表（安泰木质）"/>
      <sheetName val="动态跟踪表（2号地配电箱）"/>
      <sheetName val="动态跟踪表（林格 ）"/>
      <sheetName val="动态跟踪表(华宇)"/>
      <sheetName val="动态跟踪表(鸿翔)"/>
      <sheetName val="动态跟踪表 (四海)"/>
      <sheetName val="动态跟踪表（五冶）2"/>
      <sheetName val="动态跟踪表(光海)"/>
      <sheetName val="动态跟踪表（明清监理）2"/>
      <sheetName val="动态跟踪表【基准方中】"/>
      <sheetName val="动态跟踪表【精诚（模型）】 "/>
      <sheetName val="动态跟踪表【郑树芬室内设计】"/>
      <sheetName val="动态跟踪表（林鸥）"/>
      <sheetName val="动态跟踪表（蜀成土方）"/>
      <sheetName val="动态跟踪表（四海旋挖桩) "/>
      <sheetName val="动态跟踪表（有线广播电视网络)"/>
      <sheetName val="动态跟踪表(五冶)n"/>
      <sheetName val="动态跟踪表（鸿翔样板房)"/>
      <sheetName val="浙江长城"/>
      <sheetName val="动态跟踪款（3.4号地停车楼人防）"/>
      <sheetName val="动态跟踪表（浙江有色)护壁n"/>
      <sheetName val="动态跟踪表（浙江有色) 土方n"/>
      <sheetName val="动态跟踪表（基准方中)"/>
      <sheetName val="四川泰吉"/>
      <sheetName val="同兴泰吉"/>
      <sheetName val="动态跟踪表(西南建筑)"/>
      <sheetName val="动态跟踪表(保安)"/>
      <sheetName val="动态跟踪表(国腾) "/>
      <sheetName val="动态跟踪表(朗迪)"/>
      <sheetName val="动态跟踪表(汉嘉) "/>
      <sheetName val="动态跟踪表(超宇) "/>
      <sheetName val="动态跟踪表(鸿翔1)"/>
      <sheetName val="动态跟踪表(态森源) "/>
      <sheetName val="动态跟踪表(品伊)"/>
      <sheetName val="动态跟踪表(时代风云2011-2012)"/>
      <sheetName val="动态跟踪表(时代风云2012-2013) "/>
      <sheetName val="2号地四川艺海"/>
      <sheetName val="动态跟踪表(上海广亩1.4.5)"/>
      <sheetName val="动态跟踪表(上海广亩2.3)"/>
      <sheetName val="动态跟踪表（上海广亩新示范区)"/>
      <sheetName val="动态跟踪表(同兴达) "/>
      <sheetName val="动态跟踪表(佩尔西2.3) "/>
      <sheetName val="动态跟踪表(佩尔西1.4.5) "/>
      <sheetName val="动态跟踪表(格林) "/>
      <sheetName val="动态跟踪表（新玉智能交通）"/>
      <sheetName val="动态跟踪表(怡景光环境)"/>
      <sheetName val="动态跟踪表(昌荣总平雨污水)"/>
      <sheetName val="动态跟踪表(亿隆商业)"/>
      <sheetName val="动态跟踪表(蜂巢) "/>
      <sheetName val="动态跟踪表（中源农贸）"/>
      <sheetName val="成都锐衡"/>
      <sheetName val="动态跟踪表（中源2号地外墙涂料）"/>
      <sheetName val="动态跟踪表（雕塑小品）"/>
      <sheetName val="动态跟踪表【四川金湛】"/>
      <sheetName val="动态跟踪表（农贸市场移交）"/>
      <sheetName val="动态跟踪表（2号地兴慧栏杆）"/>
      <sheetName val="动态跟踪表（天开锦绣城农贸市场景观工程）"/>
      <sheetName val="动态跟踪表（铭创外装设计）"/>
      <sheetName val="锦绣城19号楼基坑护壁"/>
      <sheetName val="四海防火门"/>
      <sheetName val="格林园艺2013"/>
      <sheetName val="大地阳光2号地"/>
      <sheetName val="5号地示范区景观（天开）"/>
      <sheetName val="四川天恒"/>
      <sheetName val="COCO时代天开"/>
      <sheetName val="3号地样板房内装（鸿翔）"/>
      <sheetName val="华达建筑（农贸市场公共装饰）"/>
      <sheetName val="交房景观（2#天开）"/>
      <sheetName val="2#地总平雨污（昌荣）"/>
      <sheetName val="3号地旋挖钻孔灌注桩（四海）"/>
      <sheetName val="2号地住宅公共区域墙地砖"/>
      <sheetName val="3号地浦兴铝合金电缆"/>
      <sheetName val="锦绣城模型沙盘制作"/>
      <sheetName val="锦绣城3、4、17、18、21栋项目门（楼）牌加工定作"/>
      <sheetName val="3号地5-14号楼外墙面砖供货"/>
      <sheetName val="动态跟踪表【四海防火门】"/>
      <sheetName val="科尔曼达"/>
      <sheetName val="3#公共区域（艺海）"/>
      <sheetName val="泰吉安装"/>
      <sheetName val="同兴泰吉人防"/>
      <sheetName val="XX公司工程资金分级一览表（城市公司）"/>
      <sheetName val="项目资金明细（城市公司））"/>
      <sheetName val="在建项目资金计划表2015.9月-2015.2月"/>
      <sheetName val="土建明细表(2014.8月-2015.1月)"/>
      <sheetName val="安装明细表(2014.8月-2015.1月) "/>
      <sheetName val="工程进度计划"/>
      <sheetName val="邛崃COCO时代"/>
      <sheetName val="8月形象进度"/>
      <sheetName val="土建计算明细"/>
      <sheetName val="安装计算明细"/>
      <sheetName val="1-样板房及售楼部内装设计（创域）"/>
      <sheetName val="2-售楼部施工图设计（华洲）"/>
      <sheetName val="打井降水工程"/>
      <sheetName val="土方开挖工程"/>
      <sheetName val="基坑护壁工程施工"/>
      <sheetName val="示范单位土建水电总包"/>
      <sheetName val="监理"/>
      <sheetName val="初步设计及施工图"/>
      <sheetName val="建筑方案设计"/>
      <sheetName val="景观设计"/>
      <sheetName val="3-监理合同（联盛）"/>
      <sheetName val="4-打井降水（四海）"/>
      <sheetName val="5-基坑护壁（四海）"/>
      <sheetName val="6-售楼部弱电（万安）"/>
      <sheetName val="7-土方开挖（恒基）"/>
      <sheetName val="9-建筑方案设计费（深圳市城建)"/>
      <sheetName val="8-售楼部及样板间内外装（新金成）"/>
      <sheetName val="10-土建总包（雅典）"/>
      <sheetName val="11-示范区景观（俊宏）"/>
      <sheetName val="12-施工用电(金宇电力)"/>
      <sheetName val="13-沙盘模型(华野)"/>
      <sheetName val="14-示范单位土建水电总包(八建)"/>
      <sheetName val="14-示范单位土建水电总包(八建补充协议) "/>
      <sheetName val="15-障碍灯（锦华） "/>
      <sheetName val="16-柴油发电机（星光）"/>
      <sheetName val="17-临时售楼部装饰（鸿翔）"/>
      <sheetName val="18-皇家壹号"/>
      <sheetName val="19-良友咨询 "/>
      <sheetName val="20-示范区光彩（明创）"/>
      <sheetName val="21-景观方案设计（岩涛）"/>
      <sheetName val="22-施工图设计（汉嘉）"/>
      <sheetName val="23-人防设计（人防设计院）"/>
      <sheetName val="24-抗浮锚杆（西南勘察）"/>
      <sheetName val="25-人防特种门"/>
      <sheetName val="26-高压旋喷桩（中冶）"/>
      <sheetName val="27-售楼部光彩Logo设计"/>
      <sheetName val="28-面积测绘（成房）"/>
      <sheetName val="29-户内配电箱采购(兴科达)"/>
      <sheetName val="项目概况"/>
      <sheetName val="项目参数"/>
      <sheetName val="前期专项工作计划"/>
      <sheetName val="项目总控计划（开盘前）"/>
      <sheetName val="工程量清单投标总价"/>
      <sheetName val="投标总说明"/>
      <sheetName val="工程_价汇总表"/>
      <sheetName val="单项工程汇总表"/>
      <sheetName val="包干费用表"/>
      <sheetName val="包干费用明细表(一) "/>
      <sheetName val="包干费用清单明细表（二）"/>
      <sheetName val="包干费用明细表(三)"/>
      <sheetName val="包干费用明细表(四)"/>
      <sheetName val=" 主要材料价格表(建筑）"/>
      <sheetName val=" 主要材料价格表(安装）"/>
      <sheetName val="甲供材料损耗表"/>
      <sheetName val="动态成本差异率（公司维度）"/>
      <sheetName val="动态成本差异率一览表（项目维度）5月"/>
      <sheetName val="青城河谷一期"/>
      <sheetName val="青城河谷二期"/>
      <sheetName val="青城河谷三期"/>
      <sheetName val="花满庭二期南区"/>
      <sheetName val="金双楠一期"/>
      <sheetName val="金双楠二期"/>
      <sheetName val="COCO金沙二期"/>
      <sheetName val="COCO金沙三期"/>
      <sheetName val="COCO国际一期"/>
      <sheetName val="COCO国际二期"/>
      <sheetName val="东方天地"/>
      <sheetName val="东方天地学校"/>
      <sheetName val="锦绣香江一期二批次"/>
      <sheetName val="空港国际城七期"/>
      <sheetName val="乐彩城1号地"/>
      <sheetName val="乐彩城2号地"/>
      <sheetName val="乐彩城3号地"/>
      <sheetName val="乐彩城4号地"/>
      <sheetName val="金悦府"/>
      <sheetName val="金悦派"/>
      <sheetName val="金悦城"/>
      <sheetName val="改加胶玻璃、室外栏杆"/>
      <sheetName val="项目配置标准表－新"/>
      <sheetName val="现金流（旧）"/>
      <sheetName val="25、土增(不限额）"/>
      <sheetName val="项目配置标准表(旧）"/>
      <sheetName val="表2 编制说明(招标类)"/>
      <sheetName val="表3 汇总表"/>
      <sheetName val="表4.1 综合单价清单A【老项目】"/>
      <sheetName val="表4.3 清单项说明"/>
      <sheetName val="表5 运输费"/>
      <sheetName val="表6.1 直接工程费分析表(样表1)"/>
      <sheetName val="表7 调差类(样表)"/>
      <sheetName val="表8.1 甲供材清单"/>
      <sheetName val="表8.2 甲控材清单"/>
      <sheetName val="表9 资质认证"/>
      <sheetName val="组价价格汇总（含公式)"/>
      <sheetName val="组价详情"/>
      <sheetName val="Formula"/>
      <sheetName val="单项工程费汇总表（含调价说明及对比）"/>
      <sheetName val="包干措施费"/>
      <sheetName val="地下室土建"/>
      <sheetName val="T6地上部分土建模拟清单"/>
      <sheetName val="T8地上部分土建模拟清单"/>
      <sheetName val="T8改造部分清单"/>
      <sheetName val="独立商业土建模拟清单 "/>
      <sheetName val="地下室部分给排水模拟清单"/>
      <sheetName val="地下室部分强弱电模拟清单"/>
      <sheetName val="T8地上部分给排水模拟清单 "/>
      <sheetName val="T8地上部分强弱电模拟清单"/>
      <sheetName val="T6地上部分给排水模拟清单"/>
      <sheetName val="T6地上部分强弱电模拟清单"/>
      <sheetName val="独立商业地上部分给排水模拟清单"/>
      <sheetName val="独立商业上部分强弱电模拟清单"/>
      <sheetName val="其它工作项目清单计价表"/>
      <sheetName val="主要材料单价表"/>
      <sheetName val="材料损耗表"/>
      <sheetName val="指标及含量分配"/>
      <sheetName val="填报指引"/>
      <sheetName val="清单总目录"/>
      <sheetName val="投标总价表"/>
      <sheetName val="1.1#清单"/>
      <sheetName val="1.2#清单"/>
      <sheetName val="1.3#清单"/>
      <sheetName val="2∽12#土建工程量清单计价汇总表"/>
      <sheetName val="大商业部分清单"/>
      <sheetName val="大商业中酒店、商铺"/>
      <sheetName val="住宅楼部分"/>
      <sheetName val="清单封面"/>
      <sheetName val="项目简况"/>
      <sheetName val="1#双层仓库"/>
      <sheetName val="2#双层仓库(总价包干)"/>
      <sheetName val="3#双层仓库"/>
      <sheetName val="4#双层仓库(总价包干)"/>
      <sheetName val="1、3#仓库一侧平台及坡道(含设备用房)"/>
      <sheetName val="2，4#仓库一侧平台及坡道(含设备用房)(总价包干)"/>
      <sheetName val="室外项目(综合单价包干)"/>
      <sheetName val="门卫室含成品岗亭(总价包干)"/>
      <sheetName val="综合单价包干增补清单"/>
      <sheetName val="总价包干增补清单"/>
      <sheetName val="钢模具及预应力张拉设备租赁服务清单"/>
      <sheetName val="措施项目"/>
      <sheetName val="总承包配合服务费"/>
      <sheetName val="零星工程计价清单"/>
      <sheetName val="主材及施工限价"/>
      <sheetName val="1#库屋面及墙体围护系统（甲指分包）"/>
      <sheetName val="D栋计算式明细"/>
      <sheetName val="UFPrn20020708110604"/>
      <sheetName val="管比表（2）"/>
      <sheetName val="科余"/>
      <sheetName val="制比表（2）"/>
      <sheetName val="损表"/>
      <sheetName val="固折（2）"/>
      <sheetName val="预提表"/>
      <sheetName val="资负表"/>
      <sheetName val="毛利表"/>
      <sheetName val="应税表"/>
      <sheetName val="管比表"/>
      <sheetName val="预算底稿"/>
      <sheetName val="管理费用预算"/>
      <sheetName val="固定生产成本预算"/>
      <sheetName val="¹Ü±È±í£¨2£©"/>
      <sheetName val="¿ÆÓà"/>
      <sheetName val="ÖÆ±È±í£¨2£©"/>
      <sheetName val="Ëð±í"/>
      <sheetName val="¹ÌÕÛ£¨2£©"/>
      <sheetName val="Ô¤Ìá±í"/>
      <sheetName val="×Ê¸º±í"/>
      <sheetName val="Ã«Àû±í"/>
      <sheetName val="Ó¦Ë°±í"/>
      <sheetName val="¹Ü±È±í"/>
      <sheetName val="Ô¤Ëãµ×¸å"/>
      <sheetName val="¹ÜÀí·ÑÓÃÔ¤Ëã"/>
      <sheetName val="¹Ì¶¨Éú²ú³É±¾Ô¤Ëã"/>
      <sheetName val="趋势图"/>
      <sheetName val="折旧测试"/>
      <sheetName val="应收账款及预收账款明细表"/>
      <sheetName val="81180截止测试"/>
      <sheetName val="营业收入"/>
      <sheetName val="81130主营月份"/>
      <sheetName val="存货明细表 "/>
      <sheetName val="54131"/>
      <sheetName val="存货成本重算"/>
      <sheetName val="投资性房地产"/>
      <sheetName val="占地面积统计表"/>
      <sheetName val="M-5A"/>
      <sheetName val="应付－武汉运盛钢铁贸易有限公司"/>
      <sheetName val="襄樊鼎益机电有限公司"/>
      <sheetName val="M-5C"/>
      <sheetName val="平均年限法(基于入账原值和入账预计使用期间)"/>
      <sheetName val="廊桥水乡"/>
      <sheetName val="中央公园城"/>
      <sheetName val="计算稿封面"/>
      <sheetName val="1招标封面"/>
      <sheetName val="2编制说明(招标类)"/>
      <sheetName val="3汇总表A"/>
      <sheetName val="4.1综合单价清单A1【老项目】&lt;乔木&gt;"/>
      <sheetName val="4.1综合单价清单A2【老项目】&lt;灌木&gt;"/>
      <sheetName val="4.1综合单价清单A3【老项目】&lt;硬景&gt;"/>
      <sheetName val="4.1综合单价清单A5【老项目】移栽费"/>
      <sheetName val="4.1综合单价清单A6【老项目】&lt;挡墙&gt;"/>
      <sheetName val="4.1综合单价清单A7【老项目】围墙大门岗亭"/>
      <sheetName val="4.1综合单价清单A8【老项目】EPS及GRC"/>
      <sheetName val="4.1Z综合单价清单A9【老项目】零星工作"/>
      <sheetName val="5资质认证"/>
      <sheetName val="6直接工程费分析表(样表)"/>
      <sheetName val="7.1措施清单A1【老项目】"/>
      <sheetName val="10硬景主材表"/>
      <sheetName val="11.1石材加工费用清单A1【老项目】"/>
      <sheetName val="其中建造成本汇总"/>
      <sheetName val="建安合计"/>
      <sheetName val="2#楼"/>
      <sheetName val="3#楼"/>
      <sheetName val="材料、分包价格表"/>
      <sheetName val="支护工程"/>
      <sheetName val="室外管网"/>
      <sheetName val="园林环境"/>
      <sheetName val="土建总包工程"/>
      <sheetName val="安装总包分析表（1#楼）"/>
      <sheetName val="安装总包分析表（2、3#楼）"/>
      <sheetName val="电梯采购及安装"/>
      <sheetName val="通风工程"/>
      <sheetName val="地辐热"/>
      <sheetName val="弱电工程 "/>
      <sheetName val="火灾报警工程"/>
      <sheetName val="财务动态表"/>
      <sheetName val="1.2玻璃幕墙综合单价分析表"/>
      <sheetName val="1.3玻璃幕墙材料表"/>
      <sheetName val="2.1门窗工程量清单"/>
      <sheetName val="2.2门窗综合单价分析表"/>
      <sheetName val="2.3门窗材料表"/>
      <sheetName val="3.1百叶工程量清单 "/>
      <sheetName val="3.2百叶综合单价分析表"/>
      <sheetName val="3.3百叶材料表 "/>
      <sheetName val="一二期分期指标（任瑞）"/>
      <sheetName val="各地块指标"/>
      <sheetName val="改商业"/>
      <sheetName val="一期各地块指标明细"/>
      <sheetName val="二期各地块指标明细"/>
      <sheetName val="一期政府征询指标"/>
      <sheetName val="表格对比"/>
      <sheetName val="一二期指标合计（任瑞）"/>
      <sheetName val="五珑项目12月付款计划"/>
      <sheetName val="五珑1.1标段12月"/>
      <sheetName val="五珑1.2标段12月"/>
      <sheetName val="发展资金"/>
      <sheetName val="股东资金占用"/>
      <sheetName val="性质"/>
      <sheetName val="明细"/>
      <sheetName val="可控"/>
      <sheetName val="并控"/>
      <sheetName val="并表"/>
      <sheetName val="16 1H"/>
      <sheetName val="16 2H"/>
      <sheetName val="16 1Q"/>
      <sheetName val="16 2Q"/>
      <sheetName val="16 3Q"/>
      <sheetName val="16 4Q"/>
      <sheetName val="本汇"/>
      <sheetName val="本控"/>
      <sheetName val="北汇"/>
      <sheetName val="北并"/>
      <sheetName val="北控"/>
      <sheetName val="北城"/>
      <sheetName val="天汇"/>
      <sheetName val="天并"/>
      <sheetName val="天控"/>
      <sheetName val="天城"/>
      <sheetName val="重汇"/>
      <sheetName val="重并"/>
      <sheetName val="重控"/>
      <sheetName val="重城"/>
      <sheetName val="杭汇"/>
      <sheetName val="杭并"/>
      <sheetName val="杭控"/>
      <sheetName val="杭城"/>
      <sheetName val="上汇"/>
      <sheetName val="上并"/>
      <sheetName val="上控"/>
      <sheetName val="上城"/>
      <sheetName val="武汇"/>
      <sheetName val="武并"/>
      <sheetName val="武控"/>
      <sheetName val="广汇"/>
      <sheetName val="广并"/>
      <sheetName val="广控"/>
      <sheetName val="广城"/>
      <sheetName val="海汇"/>
      <sheetName val="海并"/>
      <sheetName val="海控"/>
      <sheetName val="BB"/>
      <sheetName val="BJ"/>
      <sheetName val="TJ"/>
      <sheetName val="CQ"/>
      <sheetName val="HZ"/>
      <sheetName val="SH"/>
      <sheetName val="WH"/>
      <sheetName val="HN"/>
      <sheetName val="JJN"/>
      <sheetName val="JWQ"/>
      <sheetName val="JWH"/>
      <sheetName val="SG"/>
      <sheetName val="CP"/>
      <sheetName val="YD"/>
      <sheetName val="NZ"/>
      <sheetName val="Y2"/>
      <sheetName val="YZ"/>
      <sheetName val="FX"/>
      <sheetName val="YY"/>
      <sheetName val="MTG1"/>
      <sheetName val="MTG2"/>
      <sheetName val="XHY"/>
      <sheetName val="JT"/>
      <sheetName val="XH"/>
      <sheetName val="JZT"/>
      <sheetName val="JXS"/>
      <sheetName val="JDD"/>
      <sheetName val="JLY"/>
      <sheetName val="JLH"/>
      <sheetName val="TXL"/>
      <sheetName val="TXZ"/>
      <sheetName val="TLG"/>
      <sheetName val="TSQD"/>
      <sheetName val="QLD"/>
      <sheetName val="QHK"/>
      <sheetName val="PLWS"/>
      <sheetName val="SJZ"/>
      <sheetName val="YXH"/>
      <sheetName val="YYA"/>
      <sheetName val="ZD"/>
      <sheetName val="AC"/>
      <sheetName val="XC"/>
      <sheetName val="MX"/>
      <sheetName val="JN"/>
      <sheetName val="DS"/>
      <sheetName val="TL"/>
      <sheetName val="DT"/>
      <sheetName val="BC"/>
      <sheetName val="B2"/>
      <sheetName val="M2"/>
      <sheetName val="TT"/>
      <sheetName val="SBC"/>
      <sheetName val="QYC"/>
      <sheetName val="BCBH"/>
      <sheetName val="ZGZ"/>
      <sheetName val="TDLY"/>
      <sheetName val="TDR5"/>
      <sheetName val="TDR3"/>
      <sheetName val="ZPT"/>
      <sheetName val="ZZGZ"/>
      <sheetName val="ZMS"/>
      <sheetName val="ZGK"/>
      <sheetName val="ZLB"/>
      <sheetName val="ZGC"/>
      <sheetName val="ZPZ"/>
      <sheetName val="XPT"/>
      <sheetName val="XQY"/>
      <sheetName val="XWL"/>
      <sheetName val="XYJC"/>
      <sheetName val="XLYG1"/>
      <sheetName val="XLYG2"/>
      <sheetName val="XLYG3"/>
      <sheetName val="XCA"/>
      <sheetName val="XDX"/>
      <sheetName val="XJKX"/>
      <sheetName val="XJKD"/>
      <sheetName val="XKM"/>
      <sheetName val="XLC"/>
      <sheetName val="AY"/>
      <sheetName val="AYX"/>
      <sheetName val="YT"/>
      <sheetName val="SF"/>
      <sheetName val="SJ"/>
      <sheetName val="YJ"/>
      <sheetName val="LJX"/>
      <sheetName val="LJD"/>
      <sheetName val="BP"/>
      <sheetName val="KX"/>
      <sheetName val="LJZ"/>
      <sheetName val="YL"/>
      <sheetName val="KT"/>
      <sheetName val="TG"/>
      <sheetName val="JD"/>
      <sheetName val="LF"/>
      <sheetName val="KXDA"/>
      <sheetName val="KXGG"/>
      <sheetName val="LHZC"/>
      <sheetName val="CJY"/>
      <sheetName val="CJD"/>
      <sheetName val="CGJ"/>
      <sheetName val="CZY"/>
      <sheetName val="CTF"/>
      <sheetName val="CNH"/>
      <sheetName val="CCN"/>
      <sheetName val="CTL"/>
      <sheetName val="CHH"/>
      <sheetName val="CZB"/>
      <sheetName val="RXH"/>
      <sheetName val="XX"/>
      <sheetName val="GR"/>
      <sheetName val="FY"/>
      <sheetName val="E01"/>
      <sheetName val="E04"/>
      <sheetName val="WJF"/>
      <sheetName val="HCF"/>
      <sheetName val="SM"/>
      <sheetName val="ZJ"/>
      <sheetName val="SXS"/>
      <sheetName val="LM"/>
      <sheetName val="AT"/>
      <sheetName val="HFZW"/>
      <sheetName val="HFYH"/>
      <sheetName val="HZSB"/>
      <sheetName val="JQ"/>
      <sheetName val="NB"/>
      <sheetName val="HPT"/>
      <sheetName val="HRC"/>
      <sheetName val="HRF"/>
      <sheetName val="HFD"/>
      <sheetName val="HFY"/>
      <sheetName val="HSJ"/>
      <sheetName val="NTW"/>
      <sheetName val="LMDH"/>
      <sheetName val="PXSB"/>
      <sheetName val="PJYJ"/>
      <sheetName val="WBQG"/>
      <sheetName val="KPL"/>
      <sheetName val="THW"/>
      <sheetName val="YZJ"/>
      <sheetName val="HPJ"/>
      <sheetName val="HYL"/>
      <sheetName val="HSS"/>
      <sheetName val="HHP"/>
      <sheetName val="HHK"/>
      <sheetName val="HGC"/>
      <sheetName val="HMG"/>
      <sheetName val="HXY"/>
      <sheetName val="HTZ"/>
      <sheetName val="HSL"/>
      <sheetName val="HWJ"/>
      <sheetName val="HCB"/>
      <sheetName val="SDC"/>
      <sheetName val="SCJ"/>
      <sheetName val="SSZ"/>
      <sheetName val="SYX"/>
      <sheetName val="SYY"/>
      <sheetName val="SSS"/>
      <sheetName val="STH"/>
      <sheetName val="WXZ"/>
      <sheetName val="WYL"/>
      <sheetName val="WYX"/>
      <sheetName val="CZYL"/>
      <sheetName val="NFS"/>
      <sheetName val="NTL"/>
      <sheetName val="SSH"/>
      <sheetName val="WHPT"/>
      <sheetName val="TZH"/>
      <sheetName val="WJRC"/>
      <sheetName val="XYC"/>
      <sheetName val="RCSZ"/>
      <sheetName val="SZCR"/>
      <sheetName val="FSLDH"/>
      <sheetName val="CZG"/>
      <sheetName val="SXW1"/>
      <sheetName val="SXW2"/>
      <sheetName val="DGDS"/>
      <sheetName val="DGQX"/>
      <sheetName val="DLGM"/>
      <sheetName val="GSZC"/>
      <sheetName val="FSDF"/>
      <sheetName val="WNZY"/>
      <sheetName val="HJZY"/>
      <sheetName val="HNRD"/>
      <sheetName val="HNYD"/>
      <sheetName val="DJQY1"/>
      <sheetName val="指标汇总表"/>
      <sheetName val="项目信息"/>
      <sheetName val="税款计算"/>
      <sheetName val="资本化测算"/>
      <sheetName val="待转贡献"/>
      <sheetName val="君澜"/>
      <sheetName val="半湾半岛"/>
      <sheetName val="王府"/>
      <sheetName val="大学城"/>
      <sheetName val="洞庭路"/>
      <sheetName val="蘭园"/>
      <sheetName val="融公馆"/>
      <sheetName val="全运村"/>
      <sheetName val="VDP可视"/>
      <sheetName val="可视报价"/>
      <sheetName val="理想城市分期指标(1-4)"/>
      <sheetName val="理想城市分期指标(5-10)"/>
      <sheetName val="天津公司付款计划汇总"/>
      <sheetName val="珑府"/>
      <sheetName val="五珑一期"/>
      <sheetName val="五珑二期"/>
      <sheetName val="天朗城"/>
      <sheetName val="B户型"/>
      <sheetName val="B甲供甲分包"/>
      <sheetName val="硬装部品对比"/>
      <sheetName val="配装部品对比"/>
      <sheetName val="1#3#4#6#地 "/>
      <sheetName val="会计利润副表"/>
      <sheetName val="管理利润副表"/>
      <sheetName val="2016年01月付款计划汇总"/>
      <sheetName val="御府蘭园"/>
      <sheetName val="御府御园"/>
      <sheetName val="高新臻园"/>
      <sheetName val="经开壹号"/>
      <sheetName val="御府蘭园付款计划"/>
      <sheetName val="御府御园付款计划"/>
      <sheetName val="高新臻园付款计划"/>
      <sheetName val="经开壹号付款计划"/>
      <sheetName val="E系列"/>
      <sheetName val="A1"/>
      <sheetName val="墙面石材汇总"/>
      <sheetName val="墙面石材清单"/>
      <sheetName val="石材组价清单"/>
      <sheetName val="石材综合单价组成分析表"/>
      <sheetName val="石材幕墙材料表"/>
      <sheetName val="石材线条及装饰块汇总"/>
      <sheetName val="石材线条及装饰块单价表"/>
      <sheetName val="石材线条及装饰块综合单价分析表"/>
      <sheetName val="石材线条主材表"/>
      <sheetName val="保温汇总"/>
      <sheetName val="保温单价表"/>
      <sheetName val="保温综合单价分析表"/>
      <sheetName val="保温材料表"/>
      <sheetName val="铝单板汇总"/>
      <sheetName val="铝单板单价表"/>
      <sheetName val="铝单板综合单价分析表"/>
      <sheetName val="铝单板材料表 "/>
      <sheetName val="雨篷汇总表"/>
      <sheetName val="雨棚单价表 "/>
      <sheetName val="雨棚综合单价分析表"/>
      <sheetName val="雨篷材料表"/>
      <sheetName val="门窗汇总"/>
      <sheetName val="门窗清单"/>
      <sheetName val="门窗组价表"/>
      <sheetName val="门窗综合单价分析表"/>
      <sheetName val="门窗材料表"/>
      <sheetName val="百叶组价表"/>
      <sheetName val="百叶综合单价分析表"/>
      <sheetName val="百叶及百叶窗材料表"/>
      <sheetName val="石材加工费"/>
      <sheetName val="1.1小高门窗、百叶清单 "/>
      <sheetName val="1.2小高铝合金门窗组价表 "/>
      <sheetName val="1.3小高铝合金门窗综合单价表 "/>
      <sheetName val="1.4小高铝合金门窗材料表 "/>
      <sheetName val="2.1小高百叶及百叶窗类型单价表"/>
      <sheetName val="2.2百叶及百叶窗分析表"/>
      <sheetName val="2.3百叶材料明细表"/>
      <sheetName val="3.1披水板类型单价表"/>
      <sheetName val="3.2披水板单价分析表"/>
      <sheetName val="3.3披水板材料表"/>
      <sheetName val="远期"/>
      <sheetName val="当日重点事项描述"/>
      <sheetName val="1工程款明细"/>
      <sheetName val="工抵明细"/>
      <sheetName val="银承支付明细"/>
      <sheetName val="远期支票明细"/>
      <sheetName val="银承收入明细"/>
      <sheetName val="融耀资金日报表"/>
      <sheetName val="在途监管3号楼"/>
      <sheetName val="在途监管4、5"/>
      <sheetName val="现金在途"/>
      <sheetName val="浦发基本户3363"/>
      <sheetName val="浦发在途"/>
      <sheetName val="平安半湾花园1号楼及3号楼0006"/>
      <sheetName val="平安0006在途"/>
      <sheetName val="1远期支票明细"/>
      <sheetName val="深发展5401"/>
      <sheetName val="工行2642"/>
      <sheetName val="中行6001"/>
      <sheetName val="中行还贷5001"/>
      <sheetName val="中行监管1、2号楼4001"/>
      <sheetName val="在途监管1、2号楼"/>
      <sheetName val="中行资金监管 3号楼"/>
      <sheetName val="监管4、5号楼"/>
      <sheetName val="监管6号楼"/>
      <sheetName val="中行4001"/>
      <sheetName val="滨海农商行红桥9681"/>
      <sheetName val="滨海农行64603"/>
      <sheetName val="天信"/>
      <sheetName val="中德0680"/>
      <sheetName val="民生0594"/>
      <sheetName val="光大银行9646"/>
      <sheetName val="农商行3207"/>
      <sheetName val="农行西南楼"/>
      <sheetName val="建行3171调节表"/>
      <sheetName val="调节表"/>
      <sheetName val="中行6001调节表"/>
      <sheetName val="民生调节表"/>
      <sheetName val="中行3001调节表  "/>
      <sheetName val="滨海农商调节表 "/>
      <sheetName val="建行监管0374户"/>
      <sheetName val="建行监管0374户在途"/>
      <sheetName val="奥城工行8863"/>
      <sheetName val="工行8863在途"/>
      <sheetName val="平安银行00007"/>
      <sheetName val="半湾花园23-28、38-42号楼4081户"/>
      <sheetName val="半湾花园23-28、38-42号楼在途4081户"/>
      <sheetName val="建行和平6957"/>
      <sheetName val="半湾花园20-22号楼4074户"/>
      <sheetName val="半湾花园20-22号楼在途4074户"/>
      <sheetName val="建行和平1872"/>
      <sheetName val="天津银行0803"/>
      <sheetName val="5、9号楼1-21、27门9002"/>
      <sheetName val="5、9号楼1-21、27门9002在途"/>
      <sheetName val="9号楼22-26门5006"/>
      <sheetName val="9号楼22-26门5006在途"/>
      <sheetName val="建行监管8683户"/>
      <sheetName val="建行监管8683户在途"/>
      <sheetName val="建行监管9170户"/>
      <sheetName val="建行监管9170户在途"/>
      <sheetName val="平安监管987008户"/>
      <sheetName val="平安监管987008户在途"/>
      <sheetName val="平安半湾花园4号楼7008"/>
      <sheetName val="平安4号楼在途"/>
      <sheetName val="建行1872在途"/>
      <sheetName val="建行富裕3376"/>
      <sheetName val="兴业金纬路8063"/>
      <sheetName val="渤海多伦0125"/>
      <sheetName val="中行6065"/>
      <sheetName val="上海63911"/>
      <sheetName val="平安监管户9003"/>
      <sheetName val="农行永安道4349"/>
      <sheetName val="浦发验资户3327"/>
      <sheetName val="商票台账"/>
      <sheetName val="农商294930"/>
      <sheetName val="Sheet75"/>
      <sheetName val="Sheet76"/>
      <sheetName val="Sheet77"/>
      <sheetName val="Sheet78"/>
      <sheetName val="Sheet79"/>
      <sheetName val="平安1号在途"/>
      <sheetName val="平安半湾花园1号楼及3号楼"/>
      <sheetName val="平安半湾花园4号楼"/>
      <sheetName val="资金明细新"/>
      <sheetName val="工程款&amp;销售费"/>
      <sheetName val="田、"/>
      <sheetName val="日报模板"/>
      <sheetName val="日报模板2"/>
      <sheetName val="调整明细"/>
      <sheetName val="不可动资金变动表"/>
      <sheetName val="集团往来明细"/>
      <sheetName val="开发本日汇总"/>
      <sheetName val="开发本月汇总"/>
      <sheetName val="开发本年汇总"/>
      <sheetName val="集团往来"/>
      <sheetName val="未到期远期"/>
      <sheetName val="物业本日汇总"/>
      <sheetName val="物业本月"/>
      <sheetName val="物业本年"/>
      <sheetName val="工程款"/>
      <sheetName val="工抵x"/>
      <sheetName val="倒款明细-X"/>
      <sheetName val="资金往来考核"/>
      <sheetName val="不可动资金考核"/>
      <sheetName val="取数说明及联系人"/>
      <sheetName val="12号地"/>
      <sheetName val="规划应建指标"/>
      <sheetName val="方案2指标"/>
      <sheetName val="产品标准 ppt"/>
      <sheetName val="3、静态成本表"/>
      <sheetName val="2、销售计划"/>
      <sheetName val="甲供甲分包项目测算"/>
      <sheetName val="分产品土增"/>
      <sheetName val="6、敏感性分析"/>
      <sheetName val="4、开发计划"/>
      <sheetName val="红号站测算"/>
      <sheetName val="5、现金流量表"/>
      <sheetName val="股东投入回收表"/>
      <sheetName val="PPT土地款支付"/>
      <sheetName val="融资方案计划"/>
      <sheetName val="12号地销售计划"/>
      <sheetName val="天泰布线"/>
      <sheetName val="dpi"/>
      <sheetName val="点表"/>
      <sheetName val="时间设置"/>
      <sheetName val="4号清单之（电气) "/>
      <sheetName val="5号清单之（给排水）"/>
      <sheetName val="6号清单之（采暖）"/>
      <sheetName val="8号清单地下车库机电工程"/>
      <sheetName val="10#清单之小市政雨污水"/>
      <sheetName val="人工费调整（地库）"/>
      <sheetName val="总包人工费调整(五建）"/>
      <sheetName val="指标分析"/>
      <sheetName val="表3"/>
      <sheetName val="甲供材"/>
      <sheetName val="1号清单之开办费"/>
      <sheetName val="2号清单之地下室土建"/>
      <sheetName val="3号清单之商铺土建"/>
      <sheetName val="4号清单之幼儿园土建"/>
      <sheetName val="5号清单之塔楼土建"/>
      <sheetName val="6号清单之（电气) "/>
      <sheetName val="7号清单之（给排水）"/>
      <sheetName val="8号清单之（采暖）"/>
      <sheetName val="9号清单之地下车库"/>
      <sheetName val="10号清单地下车库机电工程 "/>
      <sheetName val="11号清单之小市政雨污水"/>
      <sheetName val="附1.土建综合单价分析表"/>
      <sheetName val="附2.零星项目单价表"/>
      <sheetName val="组价基础表-电梯轿厢"/>
      <sheetName val="组价基础表-标准层工区"/>
      <sheetName val="A-01公区 精装修"/>
      <sheetName val="A-02公区 精装修"/>
      <sheetName val="A-03公区 精装修"/>
      <sheetName val="E-02公区 精装修 "/>
      <sheetName val="E-03公区 精装修 "/>
      <sheetName val="F1-h315"/>
      <sheetName val="总汇总表"/>
      <sheetName val="缺少报表台账"/>
      <sheetName val="雨润食品公司信息"/>
      <sheetName val="往来核对结果"/>
      <sheetName val="上市+非上市"/>
      <sheetName val="上市板块"/>
      <sheetName val="境外"/>
      <sheetName val="生鲜-上"/>
      <sheetName val="深加工-上"/>
      <sheetName val="生物机械-上"/>
      <sheetName val="在建-上"/>
      <sheetName val="非上市板块"/>
      <sheetName val="肉类本部"/>
      <sheetName val="生鲜"/>
      <sheetName val="深加工"/>
      <sheetName val="养殖"/>
      <sheetName val="禽业"/>
      <sheetName val="生物"/>
      <sheetName val="在建"/>
      <sheetName val="哈大众"/>
      <sheetName val="金福润"/>
      <sheetName val="模板主要变化"/>
      <sheetName val="税金调整"/>
      <sheetName val="车库减值"/>
      <sheetName val="销售面积核对"/>
      <sheetName val="预收,回款,收入核对"/>
      <sheetName val="产值cao"/>
      <sheetName val="利息资本化（重测）"/>
      <sheetName val="资本承担"/>
      <sheetName val="成本结转"/>
      <sheetName val="销售费核对"/>
      <sheetName val="月工资分析"/>
      <sheetName val="2经济测算"/>
      <sheetName val="总成本、总收入、租赁收入、资产估值"/>
      <sheetName val="_x005f_x005f_x005f_x005f_x005f_x005f_x005f_x005f_x005f_x005f_"/>
      <sheetName val="_x005f_x005f_x005f_x0000__x005f"/>
      <sheetName val="_x005f_x005f_x005f_x005f_"/>
      <sheetName val="_x0000__x0000__x005"/>
      <sheetName val="_x005f_x005f_x005f_x005f_x005f_x005f_x005f_x005f_"/>
      <sheetName val="销售数据"/>
      <sheetName val="数据核对"/>
      <sheetName val="转款（网银)"/>
      <sheetName val="转款（内购）"/>
      <sheetName val="已签约回款（销售）"/>
      <sheetName val="认筹金汇总"/>
      <sheetName val="认筹金（未办理退筹）"/>
      <sheetName val="办理退筹"/>
      <sheetName val="回款分析与预退明细"/>
      <sheetName val="本月回款明细"/>
      <sheetName val="本月转合同明细"/>
      <sheetName val="剩余资源 "/>
      <sheetName val="统计明细"/>
      <sheetName val="君澜销控表"/>
      <sheetName val="御澜销控表"/>
      <sheetName val="不可售明细"/>
      <sheetName val="君澜高层"/>
      <sheetName val="君澜小高"/>
      <sheetName val="君澜洋房"/>
      <sheetName val="君澜商业"/>
      <sheetName val="君澜车位"/>
      <sheetName val="御澜高层 "/>
      <sheetName val="御澜小高"/>
      <sheetName val="御澜洋房"/>
      <sheetName val="御澜商业 "/>
      <sheetName val="御澜车位 "/>
      <sheetName val="当月回款情况"/>
      <sheetName val="当月合同额情况"/>
      <sheetName val="当月新增情况 "/>
      <sheetName val="剩余货值"/>
      <sheetName val="退房明细"/>
      <sheetName val="销售收款台账 (2)"/>
      <sheetName val="销售收款台账"/>
      <sheetName val="欠款表"/>
      <sheetName val="一期平层车位收入"/>
      <sheetName val="二期平层车位收入"/>
      <sheetName val="收入表"/>
      <sheetName val="支出表"/>
      <sheetName val="收支平衡"/>
      <sheetName val="御园材料包装付款表01"/>
      <sheetName val="御园材料包装付款表02"/>
      <sheetName val="御园材料包装付款表03"/>
      <sheetName val="御园材料包装付款表04"/>
      <sheetName val="御园材料包装付款表05"/>
      <sheetName val="御园材料包装付款表06"/>
      <sheetName val="御园材料包装付款表07"/>
      <sheetName val="御园材料包装付款表08"/>
      <sheetName val="御园材料包装付款表09"/>
      <sheetName val="御园材料包装付款表10"/>
      <sheetName val="御园材料包装付款表11"/>
      <sheetName val="御园材料包装付款表12"/>
      <sheetName val="御园材料包装付款表13"/>
      <sheetName val="全楼栋信息"/>
      <sheetName val=" 成本项构成及计算标准"/>
      <sheetName val="目标村组基础数据"/>
      <sheetName val="项目销售额估算"/>
      <sheetName val="项目方案指标"/>
      <sheetName val="项目开发经济测算"/>
      <sheetName val="项目成本构成和开发利润分析"/>
      <sheetName val="统计表"/>
      <sheetName val="验收汇总表"/>
      <sheetName val="验收记录表"/>
      <sheetName val="三期面积指标"/>
      <sheetName val="三期配置标准"/>
      <sheetName val="123期土地款分摊"/>
      <sheetName val="整期面积指标表"/>
      <sheetName val="土地分摊明细表"/>
      <sheetName val="二期土地款"/>
      <sheetName val="一期土地款"/>
      <sheetName val="123期大配套汇总"/>
      <sheetName val="直接成本"/>
      <sheetName val="成本差异表"/>
      <sheetName val="甲供甲分包"/>
      <sheetName val="销售管理财务等分摊"/>
      <sheetName val="景观测算"/>
      <sheetName val="三期样板间及成品房"/>
      <sheetName val="三期成本测算"/>
      <sheetName val="三期空调"/>
      <sheetName val="三期电梯"/>
      <sheetName val="三期公共部位精装"/>
      <sheetName val="三期红号站"/>
      <sheetName val="loft建安"/>
      <sheetName val="办公和公寓建安"/>
      <sheetName val="商业和文化活动中心建安"/>
      <sheetName val="车库建安"/>
      <sheetName val="三期智能化"/>
      <sheetName val="跨期分摊表"/>
      <sheetName val="车库分摊"/>
      <sheetName val="地上停车楼建安"/>
      <sheetName val="地上停车楼建造成本"/>
      <sheetName val="Sheet2 (2)"/>
      <sheetName val="总资梳理排期"/>
      <sheetName val="分年资源 (2)"/>
      <sheetName val="研发提供"/>
      <sheetName val="工程节点"/>
      <sheetName val="产品指标"/>
      <sheetName val="分地块"/>
      <sheetName val="固城"/>
      <sheetName val="分年指标"/>
      <sheetName val="销售-分月计划"/>
      <sheetName val="分年售价"/>
      <sheetName val="分年资源"/>
      <sheetName val="2016分月安排"/>
      <sheetName val="0测算思路"/>
      <sheetName val="1总指标表"/>
      <sheetName val="2产品指标表"/>
      <sheetName val="6.1建安（叠拼别墅）"/>
      <sheetName val="6.3建安（小高层）"/>
      <sheetName val="6.5建安"/>
      <sheetName val="6.6建安"/>
      <sheetName val="6.8建安（人防地下）"/>
      <sheetName val="土地等分摊"/>
      <sheetName val="土地增值税测算 (重庆)"/>
      <sheetName val="土地增值税测算 (江苏)"/>
      <sheetName val="关键指标"/>
      <sheetName val="2016.06会计利润"/>
      <sheetName val="2016.06管理利润"/>
      <sheetName val="2016.06现金流"/>
      <sheetName val="2016会计利润"/>
      <sheetName val="2016管理利润"/>
      <sheetName val="2016现金流"/>
      <sheetName val="2017会计利润"/>
      <sheetName val="2017管理利润"/>
      <sheetName val="2017现金流"/>
      <sheetName val="地块指标"/>
      <sheetName val="整体指标"/>
      <sheetName val="土地成本"/>
      <sheetName val="整体成本测算（分业态）"/>
      <sheetName val="整体成本测算表（分期、分业态）"/>
      <sheetName val="土地款支付计划"/>
      <sheetName val="工程类现金流"/>
      <sheetName val="现金流铺排"/>
      <sheetName val="会计利润铺排"/>
      <sheetName val="管理利润铺排"/>
      <sheetName val="近期需要支付的款项"/>
      <sheetName val="工程款明细1"/>
      <sheetName val="工程款明细新"/>
      <sheetName val="工程款明细"/>
      <sheetName val="工抵明细1"/>
      <sheetName val="倒款明细"/>
      <sheetName val="银承明细新"/>
      <sheetName val="远期支票明细新"/>
      <sheetName val="应付票据"/>
      <sheetName val="工行河北大街支行5546"/>
      <sheetName val="在途"/>
      <sheetName val="其他银承-在途"/>
      <sheetName val="应付票据明细"/>
      <sheetName val="民生7318"/>
      <sheetName val="工行0087"/>
      <sheetName val="华夏银行2145"/>
      <sheetName val="农行翠亨广场支行2448"/>
      <sheetName val="农行翠亨广场支行贷款户3593"/>
      <sheetName val="农行南京路支行6049"/>
      <sheetName val="建行芥园道支行0106"/>
      <sheetName val="建行微电子支行0146"/>
      <sheetName val="建行开发分行营业部3219"/>
      <sheetName val="建行北辰支行6741"/>
      <sheetName val="上海银行天津分行营业部6599"/>
      <sheetName val="民生银行1409"/>
      <sheetName val="盛京银行滨海支行0450"/>
      <sheetName val="盛京银行贷款专户0468"/>
      <sheetName val="中信银行信用卡7535"/>
      <sheetName val="中信银行天津分行"/>
      <sheetName val="浦发一般户"/>
      <sheetName val="滨农一般户"/>
      <sheetName val="平安监管户"/>
      <sheetName val="平安一般户"/>
      <sheetName val="德商村镇银行"/>
      <sheetName val="现金盘点表."/>
      <sheetName val="其他台账"/>
      <sheetName val="晋商银行一般户"/>
      <sheetName val="晋商银行监管户"/>
      <sheetName val="利息分配"/>
      <sheetName val="项目会计利润"/>
      <sheetName val="土评增分摊"/>
      <sheetName val="贷款台账"/>
      <sheetName val="放款及担保台账"/>
      <sheetName val="农商银行半湾花园44号楼3881户"/>
      <sheetName val="农商银行半湾花园44号楼3881户 在途"/>
      <sheetName val="中行半湾花园10号楼0320"/>
      <sheetName val="中行半湾花园10号楼0320在途"/>
      <sheetName val="平安半湾花园11号楼1-10门及12号楼1005"/>
      <sheetName val="平安半湾花园11号楼1-10门及12号楼1005在途"/>
      <sheetName val="平安5、9号楼1-21、27门9002"/>
      <sheetName val="平安5、9号楼1-21、27门9002在途"/>
      <sheetName val="平安半湾花园29、30号楼4001户"/>
      <sheetName val="平安半湾花园29、30号楼4001户 在途"/>
      <sheetName val="平安半湾花园18、19号楼3005"/>
      <sheetName val="平安半湾花园18、19号楼3005在途"/>
      <sheetName val="半湾花园13号楼1-2门、6-15门1010户"/>
      <sheetName val="半湾花园13号楼1-2门、6-15门1010在途"/>
      <sheetName val="半湾花园11号楼11-12门、13号楼3-5门1109"/>
      <sheetName val="建行36、37、43、45号楼52575714"/>
      <sheetName val="建行36、37、43、45号楼52575714在途"/>
      <sheetName val="建行半湾大厦1号楼5808"/>
      <sheetName val="建行半湾大厦1号楼5808户在途"/>
      <sheetName val="商票台账新"/>
      <sheetName val="建行00070"/>
      <sheetName val="邮储19263"/>
      <sheetName val="销售台账（M地块住宅）"/>
      <sheetName val="回款明细"/>
      <sheetName val="调、退台账"/>
      <sheetName val="换票明细"/>
      <sheetName val="一次性"/>
      <sheetName val="台账"/>
      <sheetName val="逾期转签"/>
      <sheetName val="逾期回款"/>
      <sheetName val="未报数"/>
      <sheetName val="河滨之城按揭进展表-精装04-水"/>
      <sheetName val="已放款"/>
      <sheetName val="正数"/>
      <sheetName val="集团考核版（3月调实）"/>
      <sheetName val="天津公司版"/>
      <sheetName val="年度累计情况"/>
      <sheetName val="分月情况及15年比较"/>
      <sheetName val="当日短信"/>
      <sheetName val="累计短信"/>
      <sheetName val="回款排名"/>
      <sheetName val="合同排名"/>
      <sheetName val="新增排名"/>
      <sheetName val="网签排名"/>
      <sheetName val="可回在途"/>
      <sheetName val="原天朗借款"/>
      <sheetName val="天津公司借款明细"/>
      <sheetName val="2.20借款明细"/>
      <sheetName val="调查表主表"/>
      <sheetName val="参数"/>
      <sheetName val="补充调查表"/>
      <sheetName val="1-4"/>
      <sheetName val="5-11"/>
      <sheetName val="12-18"/>
      <sheetName val="19-25"/>
      <sheetName val="26-31"/>
      <sheetName val="核对"/>
      <sheetName val="面积明细"/>
      <sheetName val="一期洋房"/>
      <sheetName val="一期车位"/>
      <sheetName val="本月合同明细"/>
      <sheetName val="老带新统计"/>
      <sheetName val="特殊房源"/>
      <sheetName val="天津"/>
      <sheetName val="广州"/>
      <sheetName val="杭州"/>
      <sheetName val="武汉"/>
      <sheetName val="上海"/>
      <sheetName val="西安"/>
      <sheetName val="6月 (2)"/>
      <sheetName val="11-1_11.30"/>
      <sheetName val="封皮"/>
      <sheetName val="四期高层2014年5月回款"/>
      <sheetName val="四期商业2014年4月回款"/>
      <sheetName val="回款计划"/>
      <sheetName val="周例会（谢）"/>
      <sheetName val="协议转合同明细"/>
      <sheetName val="分月成交套数"/>
      <sheetName val="A组"/>
      <sheetName val="B组"/>
      <sheetName val="A组一次性名单"/>
      <sheetName val="A组二批名单"/>
      <sheetName val="B组二批名单"/>
      <sheetName val="空号1"/>
      <sheetName val="空号2"/>
      <sheetName val="待转化-利润贡献（集团）"/>
      <sheetName val="与经营计划对比"/>
      <sheetName val="项目设计指标及产品配置标准表"/>
      <sheetName val="成本明细表"/>
      <sheetName val="土地及大配套"/>
      <sheetName val="土地及大配套费"/>
      <sheetName val="规划设计费"/>
      <sheetName val="建安费-小高层"/>
      <sheetName val="建安费-商业"/>
      <sheetName val="建安费-车库"/>
      <sheetName val="公共部位装修"/>
      <sheetName val="建安费-人防 "/>
      <sheetName val="增加成本及费用说明表"/>
      <sheetName val="成品房"/>
      <sheetName val="景观工程"/>
      <sheetName val="公共配套设施各期分摊明细"/>
      <sheetName val="公共部位"/>
      <sheetName val="项目成品房"/>
      <sheetName val="项目公用配套设施"/>
      <sheetName val="项目公共配套设施各期分摊明细"/>
      <sheetName val="项目损益表—汇总"/>
      <sheetName val="项目损益表—24#地"/>
      <sheetName val="项目损益表—一期"/>
      <sheetName val="项目损益表—二期"/>
      <sheetName val="项目损益表—11#地"/>
      <sheetName val="项目损益表—三期"/>
      <sheetName val="新市镇费用"/>
      <sheetName val="项目费用分析表-24#地"/>
      <sheetName val="项目费用分析表—翡翠城"/>
      <sheetName val="现金流量分析表—一期"/>
      <sheetName val="现金流量分析表—二期+11#"/>
      <sheetName val="现金流量分析表—二期 "/>
      <sheetName val="现金流量分析表—11#地"/>
      <sheetName val="现金流量分析表—24#地"/>
      <sheetName val="现金流量分析表—三期"/>
      <sheetName val="成本预算表—24#地"/>
      <sheetName val="成本预算表—一期"/>
      <sheetName val="成本预算表—二期"/>
      <sheetName val="成本预算表—11#地"/>
      <sheetName val="竣工可入住面积表"/>
      <sheetName val="项目总体统计-预算均价"/>
      <sheetName val="04年中方"/>
      <sheetName val="会计利润 （考虑土评）"/>
      <sheetName val="会计利润 （考虑土评）复件"/>
      <sheetName val="会计毛利 (考虑土评)"/>
      <sheetName val="管理毛利(考虑土评)"/>
      <sheetName val="待转化-利润贡献（原）"/>
      <sheetName val="渝能土增"/>
      <sheetName val="四期5#精装与清水成本对比"/>
      <sheetName val="2013销售计划简表"/>
      <sheetName val="2012年指标调整"/>
      <sheetName val="融资财务费用 2012年"/>
      <sheetName val="融资财务费用 2013年 "/>
      <sheetName val="融资财务费用 2014年"/>
      <sheetName val="2013年融资计划表"/>
      <sheetName val="2014年融资计划表"/>
      <sheetName val="管理费用2012"/>
      <sheetName val="销售费用2012"/>
      <sheetName val="会计利润 (差异)"/>
      <sheetName val="会计利润（分期）"/>
      <sheetName val="销售计划（分月）"/>
      <sheetName val="按揭手续费2012"/>
      <sheetName val="融资财务费用 2011年"/>
      <sheetName val="2010年融资安排"/>
      <sheetName val="2011年融资安排 "/>
      <sheetName val="会计毛利 (2011待转化)"/>
      <sheetName val="会计毛利 (2012待转化) (含土地评估增值)"/>
      <sheetName val="会计毛利 (2011待转化明细) "/>
      <sheetName val="会计毛利 (2012待转化) "/>
      <sheetName val="会计毛利 (2012待转化明细)"/>
      <sheetName val="现金流 (已审批贷款)"/>
      <sheetName val="销售计划 (收入)"/>
      <sheetName val="销售计划 (12月份纯新增)"/>
      <sheetName val="会计毛利 (12月份纯新增)"/>
      <sheetName val="开发间接费预算完成"/>
      <sheetName val="重点科目余额明细"/>
      <sheetName val="纳税情况表"/>
      <sheetName val="近期主要税务工作"/>
      <sheetName val="近期税务相关政策"/>
      <sheetName val="下月经营计划"/>
      <sheetName val="会计毛利 (2012待转化明细含土评)"/>
      <sheetName val="现金流折现"/>
      <sheetName val="项目分期指标汇总"/>
      <sheetName val="销售费用测算表"/>
      <sheetName val="毛利明细"/>
      <sheetName val="管理費用"/>
      <sheetName val="现金流（分月）"/>
      <sheetName val="存货占压资金"/>
      <sheetName val="现金流（分月） (2)"/>
      <sheetName val="付款计划1"/>
      <sheetName val="付款计划2"/>
      <sheetName val="总成本"/>
      <sheetName val="资本化利息1"/>
      <sheetName val="资本化利息2"/>
      <sheetName val="09年融资完成情况"/>
      <sheetName val="10年融资计划表"/>
      <sheetName val="商誉分摊"/>
      <sheetName val="以前结转成本差异分析"/>
      <sheetName val="以前年度结转成本"/>
      <sheetName val="各月销售"/>
      <sheetName val="土地溢价摊销"/>
      <sheetName val="附表5-成本变化影响"/>
      <sheetName val="以前年度利润表"/>
      <sheetName val="附表1-以前年度毛利明细"/>
      <sheetName val="融资计划及财务费用表"/>
      <sheetName val="jhcyl"/>
      <sheetName val="宏7"/>
      <sheetName val="宏6"/>
      <sheetName val="宏5"/>
      <sheetName val="宏4"/>
      <sheetName val="宏3"/>
      <sheetName val="宏1"/>
      <sheetName val="宏2"/>
      <sheetName val="WYYTHR"/>
      <sheetName val="CTKUWQ"/>
      <sheetName val="宏8"/>
      <sheetName val="HXAASB"/>
      <sheetName val="三期回款统计总表"/>
      <sheetName val="三期高层2012年10月回款"/>
      <sheetName val="三期高层2012年9月回款"/>
      <sheetName val="三期叠拼2012年12月回款"/>
      <sheetName val="三期高层2014年5月回款"/>
      <sheetName val="三期高层2013年5月回款"/>
      <sheetName val="三期高层2013年4月回款"/>
      <sheetName val="三期高层2013年3月回款"/>
      <sheetName val="三期高层2013年2月回款"/>
      <sheetName val="三期高层2013年1月回款"/>
      <sheetName val="三期高层2013年9月回款"/>
      <sheetName val="三期叠拼2013年6月回款 "/>
      <sheetName val="三期叠拼2014年5月回款"/>
      <sheetName val="三期叠拼2013年5月回款"/>
      <sheetName val="三期叠拼2013年4月回款"/>
      <sheetName val="三期叠拼2013年3月回款"/>
      <sheetName val="三期叠拼2013年1月回款"/>
      <sheetName val="三期叠拼2012年11月回款"/>
      <sheetName val="三期叠拼2012年10月回款"/>
      <sheetName val="三期叠拼2012年9月回款"/>
      <sheetName val="三期高层2012年8月回款"/>
      <sheetName val="三期高层2012年7月回款"/>
      <sheetName val="Non-Statistical Sampling Master"/>
      <sheetName val="Two Step Revenue Testing Master"/>
      <sheetName val="Global Data"/>
      <sheetName val="经营予、决算封皮"/>
      <sheetName val="Basis"/>
      <sheetName val="SRC-B3U2"/>
      <sheetName val="第一部分定价"/>
      <sheetName val="单价表"/>
      <sheetName val="主材价格"/>
      <sheetName val="装饰汇总"/>
      <sheetName val="单价"/>
      <sheetName val="Fly Sheets"/>
      <sheetName val="General Index"/>
      <sheetName val="General Summary"/>
      <sheetName val="Plumb"/>
      <sheetName val="HVAC"/>
      <sheetName val="Emer"/>
      <sheetName val="Elec"/>
      <sheetName val="清单(三级)西"/>
      <sheetName val="清单(三级)南"/>
      <sheetName val="Financial highlight"/>
      <sheetName val="Dilution_analysis"/>
      <sheetName val="Price_assumptions"/>
      <sheetName val="Profits analysis"/>
      <sheetName val="Valuation analysis"/>
      <sheetName val="Comparables analysis"/>
      <sheetName val="Contribution projects"/>
      <sheetName val="Critical issues"/>
      <sheetName val="Yearly"/>
      <sheetName val="Global"/>
      <sheetName val="Mgt_Assumption_Summary"/>
      <sheetName val="Chinese Summary"/>
      <sheetName val="06 deli projects"/>
      <sheetName val="DTT"/>
      <sheetName val="Discount rate control"/>
      <sheetName val="output"/>
      <sheetName val="Consolidate"/>
      <sheetName val="Holdco"/>
      <sheetName val="P1"/>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99"/>
      <sheetName val="P100"/>
      <sheetName val="P101"/>
      <sheetName val="P102"/>
      <sheetName val="P103"/>
      <sheetName val="P104"/>
      <sheetName val="P105"/>
      <sheetName val="P106"/>
      <sheetName val="P107"/>
      <sheetName val="P108"/>
      <sheetName val="P109"/>
      <sheetName val="P110"/>
      <sheetName val="P111"/>
      <sheetName val="P112"/>
      <sheetName val="P113"/>
      <sheetName val="P114"/>
      <sheetName val="P115"/>
      <sheetName val="P116"/>
      <sheetName val="P117"/>
      <sheetName val="P118"/>
      <sheetName val="P119"/>
      <sheetName val="P120"/>
      <sheetName val="P121"/>
      <sheetName val="P122"/>
      <sheetName val="P123"/>
      <sheetName val="P124"/>
      <sheetName val="P125"/>
      <sheetName val="P126"/>
      <sheetName val="P200"/>
      <sheetName val="结构结顶价格信息"/>
      <sheetName val="总平图"/>
      <sheetName val="当期概况"/>
      <sheetName val="项目利润测算表"/>
      <sheetName val="1-5#"/>
      <sheetName val="1-1#"/>
      <sheetName val="1-16#"/>
      <sheetName val="1-17#"/>
      <sheetName val="1-9#+1-8#"/>
      <sheetName val="1-2#"/>
      <sheetName val="1-3#"/>
      <sheetName val="1-4# "/>
      <sheetName val="1-10#"/>
      <sheetName val="1-11#"/>
      <sheetName val="1-12#"/>
      <sheetName val="1-13#"/>
      <sheetName val="1-15#"/>
      <sheetName val="1-18# "/>
      <sheetName val="1-19# "/>
      <sheetName val="1-20#"/>
      <sheetName val="1-21#"/>
      <sheetName val="2013年计划"/>
      <sheetName val="3月数据"/>
      <sheetName val="3月任务计算"/>
      <sheetName val="二期高层已售资源"/>
      <sheetName val="二期高层未售资源"/>
      <sheetName val="二期商业已售"/>
      <sheetName val="二期商业未售"/>
      <sheetName val="二期剩余资源"/>
      <sheetName val="递延1406"/>
      <sheetName val="所得税14二季"/>
      <sheetName val="应交1406"/>
      <sheetName val="收款1406"/>
      <sheetName val="营业税14二季度合计"/>
      <sheetName val="应交1405"/>
      <sheetName val="收款1405"/>
      <sheetName val="营业税应交统计截至1405"/>
      <sheetName val="营业税申请1404"/>
      <sheetName val="应交1404"/>
      <sheetName val="收款1404"/>
      <sheetName val="所得税2013申请"/>
      <sheetName val="所得税2013"/>
      <sheetName val="递延1403"/>
      <sheetName val="利润表1403"/>
      <sheetName val="所得税14一季"/>
      <sheetName val="利息营业税"/>
      <sheetName val="应交1403"/>
      <sheetName val="收款1403"/>
      <sheetName val="科目余额表1403"/>
      <sheetName val="3月入库"/>
      <sheetName val="应交1402 (2)"/>
      <sheetName val="应交1401 (2)"/>
      <sheetName val="总计"/>
      <sheetName val="营业税14一季度合计"/>
      <sheetName val="应交1402"/>
      <sheetName val="收款1402"/>
      <sheetName val="1月未缴"/>
      <sheetName val="应交1401"/>
      <sheetName val="收款140131"/>
      <sheetName val="应交1312"/>
      <sheetName val="收款131231"/>
      <sheetName val="均价2.27"/>
      <sheetName val="土增税-普通"/>
      <sheetName val="所得税14二季预计2014.06.24"/>
      <sheetName val="房产税申请1405"/>
      <sheetName val="营业税应交统计截至1404"/>
      <sheetName val="所得税3.31"/>
      <sheetName val="收款明细1403"/>
      <sheetName val="收款明细1402"/>
      <sheetName val="收款明细140131"/>
      <sheetName val="收款明细131231"/>
      <sheetName val="成本付款核对"/>
      <sheetName val="销售费用核对"/>
      <sheetName val="土增税2"/>
      <sheetName val="权益 变动"/>
      <sheetName val="外-分表"/>
      <sheetName val="外-分表(累)"/>
      <sheetName val="集團-外"/>
      <sheetName val="食品-外"/>
      <sheetName val="埔心-外"/>
      <sheetName val="外銷-外"/>
      <sheetName val="其他-外"/>
      <sheetName val="內分表"/>
      <sheetName val="內分表1"/>
      <sheetName val="內分表(累)"/>
      <sheetName val="集團-內"/>
      <sheetName val="食品-內"/>
      <sheetName val="食品-內1"/>
      <sheetName val="埔心-內"/>
      <sheetName val="外銷-內"/>
      <sheetName val="其他-內"/>
      <sheetName val="YINC85"/>
      <sheetName val="每日C300"/>
      <sheetName val="RecoveredExternalLink7"/>
      <sheetName val="对比"/>
      <sheetName val="0上期决议事项追踪"/>
      <sheetName val="1上期指标异常"/>
      <sheetName val="2本期指标改善"/>
      <sheetName val="附2本期专案说明"/>
      <sheetName val="3资源汇总"/>
      <sheetName val="4库存汇总"/>
      <sheetName val="5配送收入汇总"/>
      <sheetName val="5-1配送收入汇总工作底稿"/>
      <sheetName val="6分公司管理指标"/>
      <sheetName val="8工作成果"/>
      <sheetName val="9工作计划"/>
      <sheetName val="10即期提报新"/>
      <sheetName val="7自车运输成本"/>
      <sheetName val="顶益"/>
      <sheetName val="高层三期合同台账"/>
      <sheetName val="叠拼三期"/>
      <sheetName val="laroux"/>
      <sheetName val="评估结果汇总表"/>
      <sheetName val="评估分类汇总表"/>
      <sheetName val="流动资产汇总表"/>
      <sheetName val="4货币现金"/>
      <sheetName val="5银行存款"/>
      <sheetName val="11应收帐款"/>
      <sheetName val="14预付帐"/>
      <sheetName val="16其他应收"/>
      <sheetName val="存货汇总"/>
      <sheetName val="23产成品 "/>
      <sheetName val="长期投资汇总表"/>
      <sheetName val="其他投资"/>
      <sheetName val="固定资产汇总表"/>
      <sheetName val="38房屋建筑"/>
      <sheetName val="41机器设备"/>
      <sheetName val="42车辆"/>
      <sheetName val="流动负债汇总表"/>
      <sheetName val="58应付帐"/>
      <sheetName val="61其他应付"/>
      <sheetName val="62应付工资"/>
      <sheetName val="63应付福利费"/>
      <sheetName val="64应交税金"/>
      <sheetName val="应付利润"/>
      <sheetName val="其他应交款"/>
      <sheetName val="长期负债汇总表"/>
      <sheetName val="      "/>
      <sheetName val="评估结果分类汇总表"/>
      <sheetName val="流动资产--货币"/>
      <sheetName val="流动资产--货币 (2)"/>
      <sheetName val="流动资产--货币 (3)"/>
      <sheetName val="短投汇总表"/>
      <sheetName val="短投"/>
      <sheetName val="短投 (2)"/>
      <sheetName val="流动资产--票据"/>
      <sheetName val="流动资产--应收"/>
      <sheetName val="流动资产--利润"/>
      <sheetName val="流动资产--利息"/>
      <sheetName val="流动资产--预付"/>
      <sheetName val="流动资产--补贴"/>
      <sheetName val="流动资产--其他应收"/>
      <sheetName val="流动资产--存货"/>
      <sheetName val="流动资产-原材料"/>
      <sheetName val="流动资产-材料采购"/>
      <sheetName val="流动资产-在库低值"/>
      <sheetName val="流动资产-产成品"/>
      <sheetName val="流动资产-在用低值"/>
      <sheetName val="流动资产--待摊"/>
      <sheetName val="流动资产--待处理"/>
      <sheetName val="一年到期长期债券"/>
      <sheetName val="其他流动资产"/>
      <sheetName val="长期投资--股票"/>
      <sheetName val="长期投资--债券"/>
      <sheetName val="长期投资--其他投资"/>
      <sheetName val="房屋建筑物"/>
      <sheetName val="构筑物"/>
      <sheetName val="码头"/>
      <sheetName val="机器设备"/>
      <sheetName val="车辆"/>
      <sheetName val="电子设备"/>
      <sheetName val="船舶设备"/>
      <sheetName val="通导设备"/>
      <sheetName val="集装箱设备"/>
      <sheetName val="固定-土地"/>
      <sheetName val="工程物资"/>
      <sheetName val="土建工程"/>
      <sheetName val="设备安装"/>
      <sheetName val="固定资产清理"/>
      <sheetName val="待处理固定资产"/>
      <sheetName val="土地使用权"/>
      <sheetName val="其他无形资产"/>
      <sheetName val="开办费"/>
      <sheetName val="长期待摊费用"/>
      <sheetName val="其他长期资产"/>
      <sheetName val="递延税款"/>
      <sheetName val="预收帐款"/>
      <sheetName val="代销商品款"/>
      <sheetName val="应交税金"/>
      <sheetName val="一年内到期长期负债"/>
      <sheetName val="其他流动负债"/>
      <sheetName val="长期借款"/>
      <sheetName val="应付债券"/>
      <sheetName val="长期应付款"/>
      <sheetName val="住房周转金"/>
      <sheetName val="其他长期负债"/>
      <sheetName val="递延税款贷款"/>
      <sheetName val="10000000"/>
      <sheetName val="1货币资金"/>
      <sheetName val="成本费用调整表"/>
      <sheetName val="8月人数调整"/>
      <sheetName val="IP卡收入分解"/>
      <sheetName val="服务收入加其他业利润"/>
      <sheetName val="平均资产总额"/>
      <sheetName val="分公司EBITDA率"/>
      <sheetName val="收支差额"/>
      <sheetName val="上年收入"/>
      <sheetName val="本年长数互收"/>
      <sheetName val="收支系数数据"/>
      <sheetName val="收支系数"/>
      <sheetName val="资产报酬率"/>
      <sheetName val="劳动生产率"/>
      <sheetName val="百元工资产出率"/>
      <sheetName val="收入增长贡献率"/>
      <sheetName val="收支差额贡献率"/>
      <sheetName val="全年"/>
      <sheetName val="1-11月"/>
      <sheetName val="5运输设备"/>
      <sheetName val="表1 货币资金"/>
      <sheetName val="表1-1 银行存款明细表"/>
      <sheetName val="表2 短期投资"/>
      <sheetName val="表3 应收帐款"/>
      <sheetName val="表4 应收票据"/>
      <sheetName val="表5 存货"/>
      <sheetName val="表5-1 存货跌价损失准备计算表"/>
      <sheetName val="表5-2 存货倒推表"/>
      <sheetName val="表6 预付帐款"/>
      <sheetName val="表6-1 其他应收款"/>
      <sheetName val="表6-2 待摊费用"/>
      <sheetName val="表6-3 预付及其他流动资产 "/>
      <sheetName val="表7 固定资产变动表"/>
      <sheetName val="表7-1 固定资产折旧表（上市） "/>
      <sheetName val="表7-1-1 固定资产折旧表  (非上市)"/>
      <sheetName val="表7-2 待处理财产损溢"/>
      <sheetName val="表7-3 固定资产有关资料"/>
      <sheetName val="表8-1 移动"/>
      <sheetName val="表8-2-1 数据"/>
      <sheetName val="表8-2-2 互联网"/>
      <sheetName val="表8-3 长途"/>
      <sheetName val="表8-4 寻呼"/>
      <sheetName val="表8-5 市话"/>
      <sheetName val="表8-6 在建工程明细表"/>
      <sheetName val="表8-7 工程合同汇总表(移动) NEW"/>
      <sheetName val="表8-7 工程合同汇总表(移动) (2)"/>
      <sheetName val="表8-8 在建工程有关资料"/>
      <sheetName val="表9 长期待摊费用"/>
      <sheetName val="表9-1 租赁合同汇总表"/>
      <sheetName val="表10 无形资产变动表"/>
      <sheetName val="表11 长期投资"/>
      <sheetName val="表11-1 长期股票投资"/>
      <sheetName val="表11-2 长期股权投资－未合并子公司"/>
      <sheetName val="表11-3 长期股权投资 － 合营公司"/>
      <sheetName val="表11-4 长期股权投资－联营公司"/>
      <sheetName val="表11-5 长期股权投资－参股公司"/>
      <sheetName val="表11-6 长期债权投资"/>
      <sheetName val="表11-7 其他债权投资"/>
      <sheetName val="表12 关联公司交易"/>
      <sheetName val="表12-1 与总部对帐"/>
      <sheetName val="表8-7 工程合同汇总表(移动) (5)"/>
      <sheetName val="公  "/>
      <sheetName val="共同"/>
      <sheetName val="共同 (2)"/>
      <sheetName val="BSC  BTS"/>
      <sheetName val="西门子 "/>
      <sheetName val="光端机"/>
      <sheetName val="二次分配    "/>
      <sheetName val="二次分配     (2)"/>
      <sheetName val="二次分配     (3)"/>
      <sheetName val="二次分配     (4)"/>
      <sheetName val="表8-7 工程合同汇总表(移动) (3)"/>
      <sheetName val="表8-7 工程合同汇总表 (上市) (2)"/>
      <sheetName val="ADJ-Example"/>
      <sheetName val="WB"/>
      <sheetName val="Adj.No"/>
      <sheetName val="FS-W"/>
      <sheetName val="FS-N"/>
      <sheetName val="FS-O"/>
      <sheetName val="PL"/>
      <sheetName val="NA"/>
      <sheetName val="S00"/>
      <sheetName val="S01"/>
      <sheetName val="S02"/>
      <sheetName val="S03"/>
      <sheetName val="S03_3"/>
      <sheetName val="S04_3"/>
      <sheetName val="b00w"/>
      <sheetName val="b00n"/>
      <sheetName val="p00w"/>
      <sheetName val="p00n"/>
      <sheetName val="h00w"/>
      <sheetName val="h00n"/>
      <sheetName val="b01w"/>
      <sheetName val="b01n"/>
      <sheetName val="p01w"/>
      <sheetName val="p01n"/>
      <sheetName val="h01w"/>
      <sheetName val="h01n"/>
      <sheetName val="b02w"/>
      <sheetName val="b02n"/>
      <sheetName val="p02w"/>
      <sheetName val="p02n"/>
      <sheetName val="h02w"/>
      <sheetName val="h02n"/>
      <sheetName val="b03w"/>
      <sheetName val="b03n"/>
      <sheetName val="p03w"/>
      <sheetName val="p03n"/>
      <sheetName val="h03w"/>
      <sheetName val="h03n"/>
      <sheetName val="b03_3w"/>
      <sheetName val="b03_3n"/>
      <sheetName val="p03_3w"/>
      <sheetName val="p03_3n"/>
      <sheetName val="h03_3w"/>
      <sheetName val="h03_3n"/>
      <sheetName val="b04_3w"/>
      <sheetName val="b04_3n"/>
      <sheetName val="p04_3w"/>
      <sheetName val="p04_3n"/>
      <sheetName val="h04_3w"/>
      <sheetName val="h04_3n"/>
      <sheetName val="1固定资产汇总表"/>
      <sheetName val="4通用设备"/>
      <sheetName val="6线路设备"/>
      <sheetName val="7电信机械设备"/>
      <sheetName val="8电源设备 "/>
      <sheetName val="9固定_土地"/>
      <sheetName val="10工程物资"/>
      <sheetName val="12设备安装 (暂估入账余额)"/>
      <sheetName val="13设备安装（其他）"/>
      <sheetName val="14固定资产清理"/>
      <sheetName val="15待处理固定资产"/>
      <sheetName val="Detail"/>
      <sheetName val="2009"/>
      <sheetName val="2010"/>
      <sheetName val="New Report"/>
      <sheetName val="Financial statements"/>
      <sheetName val="Hotel input"/>
      <sheetName val="Cash to JV"/>
      <sheetName val="Ratio output"/>
      <sheetName val="Roadshow presentation"/>
      <sheetName val="Invest CF"/>
      <sheetName val="Credit credential"/>
      <sheetName val="Forecast panel (2009)"/>
      <sheetName val="Forecast panel (2010)"/>
      <sheetName val="Forecast panel (2011)"/>
      <sheetName val="Forecast panel (2012)"/>
      <sheetName val="Forecast panel (2013)"/>
      <sheetName val="P61"/>
      <sheetName val="P62"/>
      <sheetName val="P63"/>
      <sheetName val="P64"/>
      <sheetName val="P65"/>
      <sheetName val="P66"/>
      <sheetName val="P67"/>
      <sheetName val="P68"/>
      <sheetName val="P69"/>
      <sheetName val="P70"/>
      <sheetName val="P71"/>
      <sheetName val="P72"/>
      <sheetName val="P73"/>
      <sheetName val="P74"/>
      <sheetName val="P75"/>
      <sheetName val="P76"/>
      <sheetName val="P77"/>
      <sheetName val="P78"/>
      <sheetName val="P79"/>
      <sheetName val="P80"/>
      <sheetName val="P81"/>
      <sheetName val="P82"/>
      <sheetName val="P83"/>
      <sheetName val="P84"/>
      <sheetName val="P85"/>
      <sheetName val="P86"/>
      <sheetName val="P87"/>
      <sheetName val="P88"/>
      <sheetName val="P89"/>
      <sheetName val="P90"/>
      <sheetName val="P91"/>
      <sheetName val="P92"/>
      <sheetName val="P93"/>
      <sheetName val="P94"/>
      <sheetName val="P95"/>
      <sheetName val="P96"/>
      <sheetName val="P97"/>
      <sheetName val="P98"/>
      <sheetName val="P127"/>
      <sheetName val="P128"/>
      <sheetName val="P129"/>
      <sheetName val="P130"/>
      <sheetName val="P131"/>
      <sheetName val="P132"/>
      <sheetName val="P133"/>
      <sheetName val="P134"/>
      <sheetName val="P135"/>
      <sheetName val="P136"/>
      <sheetName val="P137"/>
      <sheetName val="P138"/>
      <sheetName val="P139"/>
      <sheetName val="P140"/>
      <sheetName val="P141"/>
      <sheetName val="P142"/>
      <sheetName val="P143"/>
      <sheetName val="P144"/>
      <sheetName val="P145"/>
      <sheetName val="P146"/>
      <sheetName val="P147"/>
      <sheetName val="P148"/>
      <sheetName val="P149"/>
      <sheetName val="P150"/>
      <sheetName val="P151"/>
      <sheetName val="P152"/>
      <sheetName val="P153"/>
      <sheetName val="P154"/>
      <sheetName val="P155"/>
      <sheetName val="P156"/>
      <sheetName val="P157"/>
      <sheetName val="P158"/>
      <sheetName val="P159"/>
      <sheetName val="P160"/>
      <sheetName val="P161"/>
      <sheetName val="P162"/>
      <sheetName val="P163"/>
      <sheetName val="P164"/>
      <sheetName val="P165"/>
      <sheetName val="P166"/>
      <sheetName val="P167"/>
      <sheetName val="P168"/>
      <sheetName val="P169"/>
      <sheetName val="P170"/>
      <sheetName val="P171"/>
      <sheetName val="P172"/>
      <sheetName val="P173"/>
      <sheetName val="P174"/>
      <sheetName val="P175"/>
      <sheetName val="P176"/>
      <sheetName val="P177"/>
      <sheetName val="P178"/>
      <sheetName val="P179"/>
      <sheetName val="P180"/>
      <sheetName val="P2009"/>
      <sheetName val="P2010"/>
      <sheetName val="P2011"/>
      <sheetName val="P2012"/>
      <sheetName val="P2013"/>
      <sheetName val="P199"/>
      <sheetName val="P201"/>
      <sheetName val="P202"/>
      <sheetName val="P203"/>
      <sheetName val="P204"/>
      <sheetName val="P205"/>
      <sheetName val="P206"/>
      <sheetName val="P207"/>
      <sheetName val="P208"/>
      <sheetName val="P209"/>
      <sheetName val="P210"/>
      <sheetName val="P211"/>
      <sheetName val="P212"/>
      <sheetName val="P213"/>
      <sheetName val="P214"/>
      <sheetName val="P215"/>
      <sheetName val="P216"/>
      <sheetName val="P217"/>
      <sheetName val="P218"/>
      <sheetName val="P219"/>
      <sheetName val="P220"/>
      <sheetName val="P221"/>
      <sheetName val="P222"/>
      <sheetName val="P223"/>
      <sheetName val="P224"/>
      <sheetName val="P225"/>
      <sheetName val="P226"/>
      <sheetName val="P227"/>
      <sheetName val="P228"/>
      <sheetName val="P229"/>
      <sheetName val="P230"/>
      <sheetName val="P231"/>
      <sheetName val="P232"/>
      <sheetName val="P233"/>
      <sheetName val="P234"/>
      <sheetName val="P235"/>
      <sheetName val="P236"/>
      <sheetName val="P237"/>
      <sheetName val="P238"/>
      <sheetName val="P239"/>
      <sheetName val="P240"/>
      <sheetName val="P241"/>
      <sheetName val="P242"/>
      <sheetName val="P243"/>
      <sheetName val="P244"/>
      <sheetName val="P245"/>
      <sheetName val="P246"/>
      <sheetName val="P247"/>
      <sheetName val="P248"/>
      <sheetName val="P249"/>
      <sheetName val="P250"/>
      <sheetName val="P251"/>
      <sheetName val="P252"/>
      <sheetName val="P253"/>
      <sheetName val="P254"/>
      <sheetName val="P255"/>
      <sheetName val="P256"/>
      <sheetName val="P257"/>
      <sheetName val="P258"/>
      <sheetName val="P259"/>
      <sheetName val="P260"/>
      <sheetName val="P261"/>
      <sheetName val="P262"/>
      <sheetName val="P263"/>
      <sheetName val="P264"/>
      <sheetName val="P265"/>
      <sheetName val="P266"/>
      <sheetName val="P267"/>
      <sheetName val="P268"/>
      <sheetName val="P269"/>
      <sheetName val="P270"/>
      <sheetName val="P271"/>
      <sheetName val="P272"/>
      <sheetName val="P273"/>
      <sheetName val="P274"/>
      <sheetName val="P275"/>
      <sheetName val="P276"/>
      <sheetName val="P277"/>
      <sheetName val="P278"/>
      <sheetName val="P279"/>
      <sheetName val="P280"/>
      <sheetName val="P281"/>
      <sheetName val="P282"/>
      <sheetName val="P283"/>
      <sheetName val="P284"/>
      <sheetName val="P285"/>
      <sheetName val="P286"/>
      <sheetName val="P287"/>
      <sheetName val="P288"/>
      <sheetName val="P289"/>
      <sheetName val="P290"/>
      <sheetName val="P291"/>
      <sheetName val="P292"/>
      <sheetName val="P293"/>
      <sheetName val="P294"/>
      <sheetName val="P295"/>
      <sheetName val="P296"/>
      <sheetName val="P297"/>
      <sheetName val="P298"/>
      <sheetName val="P299"/>
      <sheetName val="P300"/>
      <sheetName val="P400"/>
      <sheetName val="公共配套工程"/>
      <sheetName val="附表三组团"/>
      <sheetName val="青竹园"/>
      <sheetName val="4季度指标"/>
      <sheetName val="10月数据"/>
      <sheetName val="9月完成"/>
      <sheetName val="9月每周预计完成情况"/>
      <sheetName val="8、9月"/>
      <sheetName val="全年新增任务半年调"/>
      <sheetName val="青竹园全年计划"/>
      <sheetName val="8月完成"/>
      <sheetName val="balance sheet"/>
      <sheetName val="resource"/>
      <sheetName val="Geographical breakdown"/>
      <sheetName val="PRC"/>
      <sheetName val="DD &amp; SS"/>
      <sheetName val="price vs GDP"/>
      <sheetName val="house price growth"/>
      <sheetName val="Disposable income"/>
      <sheetName val="hangzhou"/>
      <sheetName val="guangdong "/>
      <sheetName val="Anhui"/>
      <sheetName val="Hunan"/>
      <sheetName val="Jiangsu"/>
      <sheetName val="Shandong"/>
      <sheetName val="GDP"/>
      <sheetName val="1998"/>
      <sheetName val="1999"/>
      <sheetName val="2000"/>
      <sheetName val="2001"/>
      <sheetName val="2002"/>
      <sheetName val="2003"/>
      <sheetName val="2004"/>
      <sheetName val="graph"/>
      <sheetName val="RecoveredExternalLink6"/>
      <sheetName val="CTHK_FPM_98 01 14 Credit"/>
      <sheetName val="2.1设计部"/>
      <sheetName val="MD1R"/>
      <sheetName val="MD1(CP-1-1)"/>
      <sheetName val="MX24R(CP-1-2)"/>
      <sheetName val="MD2R"/>
      <sheetName val="MD2"/>
      <sheetName val="MD3R"/>
      <sheetName val="MD3"/>
      <sheetName val="MX2"/>
      <sheetName val="MX3R"/>
      <sheetName val="MX3"/>
      <sheetName val="MX4R"/>
      <sheetName val="MX4"/>
      <sheetName val="MX5"/>
      <sheetName val="MX23R"/>
      <sheetName val="MX23"/>
      <sheetName val="MX24R(CP-1-1)"/>
      <sheetName val="MX24"/>
      <sheetName val="MX25"/>
      <sheetName val="MX33"/>
      <sheetName val="MX34"/>
      <sheetName val="MX35R"/>
      <sheetName val="MX35"/>
      <sheetName val="MX45R"/>
      <sheetName val="MX45"/>
      <sheetName val="MX55"/>
      <sheetName val="MV1R"/>
      <sheetName val="MV1"/>
      <sheetName val="MV2R"/>
      <sheetName val="MV2"/>
      <sheetName val="MU1R"/>
      <sheetName val="MU1"/>
      <sheetName val="MU2R"/>
      <sheetName val="MU2"/>
      <sheetName val="报表项目基本情况表"/>
      <sheetName val="1.1 工程量清单竣工结算总价"/>
      <sheetName val="1.2 总说明"/>
      <sheetName val="1.3工程结算总价表"/>
      <sheetName val="1.4闭路监控系统计价表"/>
      <sheetName val="1.5对讲系统计价表"/>
      <sheetName val="1.6周界系统计价表"/>
      <sheetName val="1.7停车场管理系统计价表"/>
      <sheetName val="1.8一卡通系统计价表"/>
      <sheetName val="1.9管线系统计价表"/>
      <sheetName val="1.10背景音乐系统计价表"/>
      <sheetName val="变更签证计价表"/>
      <sheetName val="乙供主要材料保管费"/>
      <sheetName val="甲供主要材料保管费"/>
      <sheetName val="2004年"/>
      <sheetName val="2006年"/>
      <sheetName val="2005年"/>
      <sheetName val="资本化利息分配表"/>
      <sheetName val="财务比率分析表-63-1"/>
      <sheetName val="T2项目资金占庄分析表"/>
      <sheetName val="T2库存表"/>
      <sheetName val="9月与8月分析"/>
      <sheetName val="差异分析-AYX"/>
      <sheetName val="差异分析-年度-AYX"/>
      <sheetName val="资本化利息表"/>
      <sheetName val="本月在途分析"/>
      <sheetName val="1、调整简表"/>
      <sheetName val="2、销售分析表"/>
      <sheetName val="3、可售资源表"/>
      <sheetName val="4、售价分析表"/>
      <sheetName val="5、开盘加推情况统计表"/>
      <sheetName val="销售计划 (原)"/>
      <sheetName val="3银行放款进度"/>
      <sheetName val="1项目贷款进度"/>
      <sheetName val="2当月放款进度"/>
      <sheetName val="销管有"/>
      <sheetName val="销管台账统计"/>
      <sheetName val="庭香-放款 "/>
      <sheetName val="未录入"/>
      <sheetName val="工抵等"/>
      <sheetName val="1-7"/>
      <sheetName val="8-14"/>
      <sheetName val="15-21"/>
      <sheetName val="22-28"/>
      <sheetName val="29-31"/>
      <sheetName val="银行贷款进度"/>
      <sheetName val="项目贷款进度"/>
      <sheetName val="当月贷款进度"/>
      <sheetName val="结转"/>
      <sheetName val="问题件"/>
      <sheetName val="农行"/>
      <sheetName val="蓝色海岸"/>
      <sheetName val="海河"/>
      <sheetName val="天拖-住宅"/>
      <sheetName val="天拖-商业"/>
      <sheetName val="公积金-总"/>
      <sheetName val="统计小表"/>
      <sheetName val="组合"/>
      <sheetName val="手表厂"/>
      <sheetName val="原料"/>
      <sheetName val="檢查"/>
      <sheetName val="7-12客戶數"/>
      <sheetName val="樞紐分析"/>
      <sheetName val="快報"/>
      <sheetName val="對象別"/>
      <sheetName val="事業部"/>
      <sheetName val="客戶數分佈"/>
      <sheetName val="差異分析-1"/>
      <sheetName val="差異分析-2"/>
      <sheetName val="趨勢圖"/>
      <sheetName val="味全鮮乳"/>
      <sheetName val="味全鮮乳2"/>
      <sheetName val="味全鮮乳3"/>
      <sheetName val="味全鮮乳-行動"/>
      <sheetName val="優酪乳"/>
      <sheetName val="優酪乳2"/>
      <sheetName val="優酪乳3"/>
      <sheetName val="二通優酪乳"/>
      <sheetName val="二通優酪乳2"/>
      <sheetName val="二通優酪乳3"/>
      <sheetName val="優-行動"/>
      <sheetName val="每日C"/>
      <sheetName val="每日C2"/>
      <sheetName val="每日C3"/>
      <sheetName val="C-行動"/>
      <sheetName val="林鳳營"/>
      <sheetName val="林鳳營2"/>
      <sheetName val="林鳳營3"/>
      <sheetName val="林-行動"/>
      <sheetName val="活鮮乳"/>
      <sheetName val="活鮮乳2"/>
      <sheetName val="活鮮乳3"/>
      <sheetName val="活-行動"/>
      <sheetName val="蔬果汁"/>
      <sheetName val="蔬果汁2"/>
      <sheetName val="蔬果汁3"/>
      <sheetName val="陽光-行動"/>
      <sheetName val="市場動態"/>
      <sheetName val="本期工作"/>
      <sheetName val="下期工作"/>
      <sheetName val="主要客戶"/>
      <sheetName val="事業部 單價 (2)"/>
      <sheetName val="新產品"/>
      <sheetName val="网签合同明细"/>
      <sheetName val="房地产管理网"/>
      <sheetName val="退网重签明细"/>
      <sheetName val="统计局直报"/>
      <sheetName val="统计局上报过程版（8月份上报数据）"/>
      <sheetName val="房管局每周明细模板"/>
      <sheetName val="贴销控"/>
      <sheetName val="错误"/>
      <sheetName val="8月回款明细"/>
      <sheetName val="管理团队"/>
      <sheetName val="本月执行梯跳标准"/>
      <sheetName val="E级员工薪酬"/>
      <sheetName val="销售--奥城"/>
      <sheetName val="奥城 - 住宅"/>
      <sheetName val="奥城 - 公建、公寓"/>
      <sheetName val="渠道、策划提成明细"/>
      <sheetName val="借款情况表"/>
      <sheetName val="逾期付款表"/>
      <sheetName val="排名"/>
      <sheetName val="奖励明细"/>
      <sheetName val="4#"/>
      <sheetName val="已售明细"/>
      <sheetName val="价格明细"/>
      <sheetName val="货量盘点"/>
      <sheetName val="现场销控表"/>
      <sheetName val="未转合同协议余额"/>
      <sheetName val="短信"/>
      <sheetName val="面积汇总"/>
      <sheetName val="合同额明细"/>
      <sheetName val="置业顾问"/>
      <sheetName val="员工&amp;设计院团购"/>
      <sheetName val="汇总台账"/>
      <sheetName val="小高底价"/>
      <sheetName val="摘要汇总表-总表"/>
      <sheetName val="摘要汇总表-工程费用汇总"/>
      <sheetName val="工程费用汇总统计"/>
      <sheetName val="已完工程进度及付款情况"/>
      <sheetName val="成本动态台账"/>
      <sheetName val="成本超支报警台帐"/>
      <sheetName val="目标成本调整台帐"/>
      <sheetName val="暂估价台账"/>
      <sheetName val="工程认价台账"/>
      <sheetName val="合同及代垫费用付款台帐"/>
      <sheetName val="待发生成本预测与冲销台帐"/>
      <sheetName val="目标成本说明"/>
      <sheetName val="测算说明"/>
      <sheetName val="配置标准 (2)"/>
      <sheetName val="楼面地价敏感性分析"/>
      <sheetName val="建安（洋房）"/>
      <sheetName val="建安（类独栋)"/>
      <sheetName val="建安一期（T2T4）"/>
      <sheetName val="建安一期（T6）"/>
      <sheetName val="建安一期（高层商业）"/>
      <sheetName val="建安一期（街区商业）"/>
      <sheetName val="建安一期（公寓3.0）"/>
      <sheetName val="车库指标统计"/>
      <sheetName val="异地建设"/>
      <sheetName val="基坑支护"/>
      <sheetName val="福地广场基础结算书"/>
      <sheetName val="玫瑰园-未调土地的"/>
      <sheetName val="Notes-玫瑰园"/>
      <sheetName val="御园"/>
      <sheetName val="Notes-御园"/>
      <sheetName val="SAD"/>
      <sheetName val="issue summary "/>
      <sheetName val="SUD"/>
      <sheetName val="填写要求及考核标准"/>
      <sheetName val="评价表"/>
      <sheetName val="附注2"/>
      <sheetName val="PBC071231"/>
      <sheetName val="融政"/>
      <sheetName val="逸骏"/>
      <sheetName val="鼎晟"/>
      <sheetName val="棉二"/>
      <sheetName val="融耀"/>
      <sheetName val="名翔"/>
      <sheetName val="天拖"/>
      <sheetName val="北塘"/>
      <sheetName val="汇杰"/>
      <sheetName val="泰达"/>
      <sheetName val="反馈结果"/>
      <sheetName val="节点汇总"/>
      <sheetName val="营销费用汇总"/>
      <sheetName val="2013.6-2015.02融科股份（汇总）"/>
      <sheetName val="2013.6-2015.02汉鼎投资（汇总）"/>
      <sheetName val="2013.06融科股份"/>
      <sheetName val="2013.07融科股份"/>
      <sheetName val="2013.08融科股份"/>
      <sheetName val="2013.09融科股份"/>
      <sheetName val="2013.10融科股份"/>
      <sheetName val="2013.11融科股份"/>
      <sheetName val="2013.12融科股份"/>
      <sheetName val="2014.1融科股份"/>
      <sheetName val="2014.2融科股份"/>
      <sheetName val="2014.3融科股份"/>
      <sheetName val="2014.4融科股份"/>
      <sheetName val="2014.5融科股份"/>
      <sheetName val="2014.6融科股份"/>
      <sheetName val="2014.7融科股份"/>
      <sheetName val="2014.8融科股份"/>
      <sheetName val="2014.9融科股份"/>
      <sheetName val="2014.10融科股份"/>
      <sheetName val="归还利息合计"/>
      <sheetName val="2014.11融科股份"/>
      <sheetName val="2014.12融科股份"/>
      <sheetName val="2015.01融科股份"/>
      <sheetName val="2013.06汉鼎投资"/>
      <sheetName val="2013.07汉鼎投资"/>
      <sheetName val="2013.08汉鼎投资"/>
      <sheetName val="2013.09汉鼎投资"/>
      <sheetName val="2013.10汉鼎投资"/>
      <sheetName val="2013.11汉鼎投资"/>
      <sheetName val="2013.12汉鼎投资"/>
      <sheetName val="2014.1汉鼎投资"/>
      <sheetName val="2014.2汉鼎投资"/>
      <sheetName val="2014.3汉鼎投资"/>
      <sheetName val="2014.4汉鼎投资"/>
      <sheetName val="2014.5汉鼎投资"/>
      <sheetName val="2014.6汉鼎投资"/>
      <sheetName val="2014.7汉鼎投资"/>
      <sheetName val="2014.8汉鼎投资"/>
      <sheetName val="2014.9汉鼎投资"/>
      <sheetName val="2015.02融科股份"/>
      <sheetName val="2014.10汉鼎投资"/>
      <sheetName val="2014.11汉鼎投资"/>
      <sheetName val="2014.12汉鼎投资"/>
      <sheetName val="2015.01汉鼎投资"/>
      <sheetName val="2015.02汉鼎投资"/>
      <sheetName val="其他净收支汇总"/>
      <sheetName val="承兑台账"/>
      <sheetName val="远期支票统计表"/>
      <sheetName val="银票、商票统计表"/>
      <sheetName val="其他净支出"/>
      <sheetName val="10#楼材料价差"/>
      <sheetName val="20#材料价差"/>
      <sheetName val="26#楼材料价差"/>
      <sheetName val="10#楼可调价"/>
      <sheetName val="20#楼可调价"/>
      <sheetName val="10#楼基础"/>
      <sheetName val="20#楼基础"/>
      <sheetName val="26a基础"/>
      <sheetName val="材料调差汇总表"/>
      <sheetName val="砼工程量"/>
      <sheetName val="10# 主体+基础+变更"/>
      <sheetName val="20# 主体+基础+变更"/>
      <sheetName val="26# 主体+基础+变更"/>
      <sheetName val="10#主体"/>
      <sheetName val="20#主体"/>
      <sheetName val="26#车库主体"/>
      <sheetName val="10#基础"/>
      <sheetName val="20#基础"/>
      <sheetName val="26#基础"/>
      <sheetName val="10#变更"/>
      <sheetName val="20#变更"/>
      <sheetName val="26#变更"/>
      <sheetName val="编  制  说  明"/>
      <sheetName val="成本目标控制汇总表"/>
      <sheetName val="建安成本"/>
      <sheetName val="测算界面汇总及利润汇总"/>
      <sheetName val="测算指标汇总表"/>
      <sheetName val="单业态盈利指标"/>
      <sheetName val="融资及利息"/>
      <sheetName val="销售周期"/>
      <sheetName val="节奏成本【不含税】"/>
      <sheetName val="节奏成本【含税】"/>
      <sheetName val="完全成本汇总表"/>
      <sheetName val="投标总价表（II标段）"/>
      <sheetName val="住宅土建-地下"/>
      <sheetName val="全费用单价分析表-住宅建筑（地下）"/>
      <sheetName val="阳台变更"/>
      <sheetName val="住宅电气-地下"/>
      <sheetName val="住宅电气-地上"/>
      <sheetName val="住宅水暖-地下"/>
      <sheetName val="住宅水暖-地上"/>
      <sheetName val="车库电气 "/>
      <sheetName val="车库水暖 "/>
      <sheetName val="措施费-住宅"/>
      <sheetName val="措施费-车库"/>
      <sheetName val="零星限价表"/>
      <sheetName val="乙供材料明细表"/>
      <sheetName val="全费用单价分析表-住宅建筑"/>
      <sheetName val="全费用单价分析表-住宅水暖"/>
      <sheetName val="全费用单价分析表-住宅电气"/>
      <sheetName val="全费用单价分析表-车库土建"/>
      <sheetName val="全费用单价分析表-车库电气"/>
      <sheetName val="全费用单价分析表-车库水暖"/>
      <sheetName val="措施费综合单价分析表-住宅"/>
      <sheetName val="措施费综合单价分析表-车库"/>
      <sheetName val="非人防地库土建"/>
      <sheetName val="人防地库土建（暂定）"/>
      <sheetName val="1#楼裙楼土建"/>
      <sheetName val="2#楼裙楼土建"/>
      <sheetName val="3#楼裙楼土建"/>
      <sheetName val="5#楼裙楼土建"/>
      <sheetName val="1#楼塔楼土建"/>
      <sheetName val="2#楼塔楼土建"/>
      <sheetName val="3#楼塔楼土建"/>
      <sheetName val="4#塔楼土建"/>
      <sheetName val="5#楼塔楼土建"/>
      <sheetName val="小高层塔楼土建成本分析"/>
      <sheetName val="EBITDA"/>
      <sheetName val="DDETABLE "/>
      <sheetName val="Comments"/>
      <sheetName val="基本参数"/>
      <sheetName val="成本估算"/>
      <sheetName val="e"/>
      <sheetName val="NEWTABL1_97"/>
      <sheetName val="十一工程用款统计"/>
      <sheetName val="4800万美元偿还计划"/>
      <sheetName val="拆迁9.18累计"/>
      <sheetName val="拆迁9.19后计划"/>
      <sheetName val="2000年用款计划"/>
      <sheetName val="投资计划"/>
      <sheetName val="还本付息"/>
      <sheetName val="收入"/>
      <sheetName val="面积"/>
      <sheetName val="单方成本"/>
      <sheetName val="1#地"/>
      <sheetName val="2#地 "/>
      <sheetName val="2#8#增加费用"/>
      <sheetName val="5#办公"/>
      <sheetName val="7#地"/>
      <sheetName val="8#地"/>
      <sheetName val="9#地"/>
      <sheetName val="10#地"/>
      <sheetName val="大木仓"/>
      <sheetName val="前期市政"/>
      <sheetName val="一期市政"/>
      <sheetName val="二期市政"/>
      <sheetName val="其余市政"/>
      <sheetName val="地铁商城"/>
      <sheetName val="投资估算表"/>
      <sheetName val="索引表"/>
      <sheetName val="CFS"/>
      <sheetName val="分产品销售收入、成本分析表"/>
      <sheetName val="雷梦"/>
      <sheetName val="三分厂04年1-12月销售价 "/>
      <sheetName val="05年1月销售价"/>
      <sheetName val="04年12月销售价"/>
      <sheetName val="资产品名库"/>
      <sheetName val="华房01"/>
      <sheetName val="健翔01"/>
      <sheetName val="京通01"/>
      <sheetName val="字典(不需输入)"/>
      <sheetName val="选择报表"/>
      <sheetName val="A翼写字楼"/>
      <sheetName val="银行借款询证"/>
      <sheetName val="资产负债表汇编"/>
      <sheetName val="重要参数汇总"/>
      <sheetName val="目标成本汇总表"/>
      <sheetName val="CJA 2006"/>
      <sheetName val="PL 2007"/>
      <sheetName val="PL 2005"/>
      <sheetName val="PL 2006"/>
      <sheetName val="W"/>
      <sheetName val="与前版目标成本对比分析表 (2)"/>
      <sheetName val="完全成本审批表-预结版"/>
      <sheetName val="建造成本审批表-预结版"/>
      <sheetName val="预结成本简表 "/>
      <sheetName val="变更签证表"/>
      <sheetName val="北辰一期直接成本"/>
      <sheetName val="预估待发生汇总表"/>
      <sheetName val="kongfang "/>
      <sheetName val="预结合同明细表"/>
      <sheetName val="空房管理费"/>
      <sheetName val="其他成本"/>
      <sheetName val="宁波绿能一期 (2)"/>
      <sheetName val="绿城东方一期"/>
      <sheetName val="易墨"/>
      <sheetName val="一期北辰红号站测算"/>
      <sheetName val="一期一标段总包"/>
      <sheetName val="预交、垫付明细表"/>
      <sheetName val="钢筋调差表"/>
      <sheetName val="变更签证表-一标段"/>
      <sheetName val="变更签证表-二标段 "/>
      <sheetName val="变更签证表-三标段"/>
      <sheetName val="变更签证表-四标段"/>
      <sheetName val="建安033"/>
      <sheetName val="建安048"/>
      <sheetName val="建安060"/>
      <sheetName val="跨期分摊（建造）"/>
      <sheetName val="前期019"/>
      <sheetName val="五金"/>
      <sheetName val="会计科目"/>
      <sheetName val="盈余公积 （合并)"/>
      <sheetName val="包增减变动"/>
      <sheetName val="CF"/>
      <sheetName val="长期股权投资"/>
      <sheetName val="总分类账"/>
      <sheetName val="固定资产明细表"/>
      <sheetName val="固及累及减值"/>
      <sheetName val="56261盘点"/>
      <sheetName val="其他应收明细表"/>
      <sheetName val="在建工程审计说明"/>
      <sheetName val="124301 查询"/>
      <sheetName val="经贸库存商品"/>
      <sheetName val="户名"/>
      <sheetName val="inf"/>
      <sheetName val="Third party"/>
      <sheetName val="82130其他"/>
      <sheetName val="表4-12"/>
      <sheetName val="SMCTSSP2"/>
      <sheetName val="Market share"/>
      <sheetName val="fs(for Consol)"/>
      <sheetName val="10-2.固定资产处置表"/>
      <sheetName val="资产表横向"/>
      <sheetName val="期初调整"/>
      <sheetName val="工程量清单（一标段）"/>
      <sheetName val="一期审批表"/>
      <sheetName val="月报目录"/>
      <sheetName val="1.成本汇总"/>
      <sheetName val="二期审批表"/>
      <sheetName val="1.1建造成本(一期）"/>
      <sheetName val="1.1建造成本(二期）"/>
      <sheetName val="三期审批表"/>
      <sheetName val="1.1建造成本(三期）"/>
      <sheetName val="综合指标表2"/>
      <sheetName val="配置标准 "/>
      <sheetName val="总成本明细表"/>
      <sheetName val="非建安成本"/>
      <sheetName val="建安(小合院）"/>
      <sheetName val="建安(中合院） "/>
      <sheetName val="建安(沿湖合院A）"/>
      <sheetName val="建安(沿湖合院B）"/>
      <sheetName val="建安（地下车库）"/>
      <sheetName val="建安（集中商业） "/>
      <sheetName val="庭院配置标准"/>
      <sheetName val="1.2费用成本（备查）"/>
      <sheetName val="1.3变更"/>
      <sheetName val="2.结算"/>
      <sheetName val="3.产值付款"/>
      <sheetName val="1.4配置标准表"/>
      <sheetName val="项目成本分摊"/>
      <sheetName val="投资进度"/>
      <sheetName val="月度投资进度计划"/>
      <sheetName val="七通一平转让(8000）"/>
      <sheetName val="七通一平转让(9000）"/>
      <sheetName val="七通一平转让(8500）"/>
      <sheetName val="七通一平转让(底线）"/>
      <sheetName val="七通一平转让(理想）"/>
      <sheetName val="月度销售收入"/>
      <sheetName val="面积繁感性分析"/>
      <sheetName val="商业销售损益"/>
      <sheetName val="月度资金平衡"/>
      <sheetName val="公寓损益表"/>
      <sheetName val="办公损益表"/>
      <sheetName val="损益表 (2)"/>
      <sheetName val="繁感性分析"/>
      <sheetName val="出租部分贴现"/>
      <sheetName val="商业损益表"/>
      <sheetName val="损益表汇总(蔡)"/>
      <sheetName val="建安成本分析"/>
      <sheetName val="销售费用分析"/>
      <sheetName val="YLNPOI"/>
      <sheetName val="Macro2"/>
      <sheetName val="Macro3"/>
      <sheetName val="Macro6"/>
      <sheetName val="8号楼装修面积测算汇总表"/>
      <sheetName val="Macro4"/>
      <sheetName val="Macro5"/>
      <sheetName val="主表ppt"/>
      <sheetName val="销售ppt"/>
      <sheetName val="持有ppt"/>
      <sheetName val="土地款ppt"/>
      <sheetName val="融资计划ppt"/>
      <sheetName val="放款明细ppt"/>
      <sheetName val="资金缺口PPT"/>
      <sheetName val="现金流主表 (2)"/>
      <sheetName val="过程表1"/>
      <sheetName val="现金流主表 (新版检验)"/>
      <sheetName val="results"/>
      <sheetName val="现金流主表"/>
      <sheetName val="销售现金流"/>
      <sheetName val="所得税"/>
      <sheetName val="过程表"/>
      <sheetName val="清算表"/>
      <sheetName val="成本表"/>
      <sheetName val="税率"/>
      <sheetName val="持有现金流"/>
      <sheetName val="土地款"/>
      <sheetName val="土地费用（过渡）"/>
      <sheetName val="销售回款自检"/>
      <sheetName val="持有物业进度节点、付款比例"/>
      <sheetName val="销售物业进度节点、付款比例"/>
      <sheetName val="销售(认购) "/>
      <sheetName val="销售(合同)"/>
      <sheetName val="持有物业开发计划"/>
      <sheetName val="销售物业开发计划"/>
      <sheetName val="土地增值税分摊"/>
      <sheetName val="成本说明 (2)"/>
      <sheetName val="行政收费等支付说明 (2)"/>
      <sheetName val="审核栏 (2)"/>
      <sheetName val="合肥销售收入 (2)"/>
      <sheetName val="合肥面积指标 (2)"/>
      <sheetName val="销售成本支出汇总"/>
      <sheetName val="合肥成本表销售物业"/>
      <sheetName val="进度节点、付款比例（住宅1）"/>
      <sheetName val="进度计划与支付比例（住宅1）"/>
      <sheetName val="进度节点、付款比例（住宅2）"/>
      <sheetName val="进度计划与支付比例（住宅2）"/>
      <sheetName val="进度节点、付款比例（住宅3）"/>
      <sheetName val="进度计划与支付比例（住宅3）"/>
      <sheetName val="进度节点、付款比例（住宅4）"/>
      <sheetName val="进度计划与支付比例（住宅4）"/>
      <sheetName val="进度节点、付款比例（住宅5）"/>
      <sheetName val="进度计划与支付比例（住宅5）"/>
      <sheetName val="进度节点、付款比例（住宅6）"/>
      <sheetName val="进度计划与支付比例（住宅6）"/>
      <sheetName val="进度计划与支付比例（住宅7）"/>
      <sheetName val="进度节点、付款比例（住宅7）"/>
      <sheetName val="合肥面积指标 (3)"/>
      <sheetName val="持有物业成本支出汇总"/>
      <sheetName val="合肥成本分解表"/>
      <sheetName val="进度节点、付款比例（酒店群）"/>
      <sheetName val="进度计划与支付比例（酒店群）"/>
      <sheetName val="进度节点、付款比例（万达城）"/>
      <sheetName val="进度计划与支付比例（万达城）"/>
      <sheetName val="进度节点、付款比例（秀场）"/>
      <sheetName val="进度计划与支付比例（秀场）"/>
      <sheetName val="进度节点、付款比例（配套）"/>
      <sheetName val="进度计划与支付比例（配套）"/>
      <sheetName val="进度节点、付款比例（主题公园）"/>
      <sheetName val="进度计划与支付比例（主题公园）"/>
      <sheetName val="进度节点、付款比例（消防站）"/>
      <sheetName val="进度计划与支付比例（消防站）"/>
      <sheetName val="进度节点、付款比例（独立支付）"/>
      <sheetName val="进度节点、付款比例（市政基础）"/>
      <sheetName val="进度计划与支付比例（市政基础）"/>
      <sheetName val="成本说明"/>
      <sheetName val="行政收费等支付说明"/>
      <sheetName val="审核栏"/>
      <sheetName val="销售物业分期表"/>
      <sheetName val="合肥销售收入"/>
      <sheetName val="合肥面积指标"/>
      <sheetName val="面积指标表"/>
      <sheetName val="2#公寓大堂"/>
      <sheetName val="3#公寓大堂"/>
      <sheetName val="标准层A户型"/>
      <sheetName val="标准层B户型"/>
      <sheetName val="标准层C户型"/>
      <sheetName val="标准层D户型"/>
      <sheetName val="公共走道部分"/>
      <sheetName val="地下室电梯厅"/>
      <sheetName val="电梯厅"/>
      <sheetName val="2#、3#地下室电梯厅"/>
      <sheetName val="工程量清单计价汇总表"/>
      <sheetName val="工程量清单计价表"/>
      <sheetName val="基坑土方、桩基、支护、降水工程综合单价表"/>
      <sheetName val="基坑土方、桩基、支护、降水工程综合单价组价明细表"/>
      <sheetName val="量价(不打印）"/>
      <sheetName val="D1电气单价表"/>
      <sheetName val="住宅地下室"/>
      <sheetName val="沿街商业"/>
      <sheetName val="公寓"/>
      <sheetName val="酒店式公寓"/>
      <sheetName val="酒店式公寓附属商业"/>
      <sheetName val="酒店式公寓地下室"/>
      <sheetName val="独立商业"/>
      <sheetName val="组价明细"/>
      <sheetName val="19#"/>
      <sheetName val="综合单价组价明细表"/>
      <sheetName val="项目概况指标"/>
      <sheetName val="差异分析 (2)"/>
      <sheetName val="优化记录"/>
      <sheetName val="计划（清算）"/>
      <sheetName val="三星酒店地下部分"/>
      <sheetName val="三星酒店地上部分"/>
      <sheetName val="住宅底商及配套"/>
      <sheetName val="四星酒店地下部分"/>
      <sheetName val="四星酒店地上部分 "/>
      <sheetName val="六星酒店地下部分"/>
      <sheetName val="六星酒店地上部分 "/>
      <sheetName val="酒吧街"/>
      <sheetName val="销售"/>
      <sheetName val="单体建安造价"/>
      <sheetName val="面积指标--港区地块"/>
      <sheetName val="面积指标--东方影都地块"/>
      <sheetName val="计划总表"/>
      <sheetName val="计划（港区地块）"/>
      <sheetName val="计划（东方影都地块）"/>
      <sheetName val="成本表--持有物业（港区地块）"/>
      <sheetName val="成本表-游艇基地（港区地块）"/>
      <sheetName val="成本表--销售物业（港区地块）"/>
      <sheetName val="成本表--持有物业（东方影都地块）"/>
      <sheetName val="成本表--销售物业（东方影都地块）"/>
      <sheetName val="单体建安造价--持有物业（港区地块）"/>
      <sheetName val="单体建安造价--游艇码头（港区地块）"/>
      <sheetName val="单体建安造价--销售物业（港区地块）"/>
      <sheetName val="单体综合造价--持有物业（港区地块）"/>
      <sheetName val="单体综合造价--销售物业（港区地块）"/>
      <sheetName val="单体建安造价--持有物业（东方影都地块）"/>
      <sheetName val="单体建安造价--销售物业（东方影都地块）"/>
      <sheetName val="单体综合造价--持有物业（东方影都地块）"/>
      <sheetName val="单体综合造价--销售物业（东方影都地块）"/>
      <sheetName val="计划--清算（港区地块）"/>
      <sheetName val="土地增值税测算（港区地块）"/>
      <sheetName val="计划--清算（东方影都地块）"/>
      <sheetName val="土地增值税测算（东方影都地块）"/>
      <sheetName val="土地费用"/>
      <sheetName val="计量规则"/>
      <sheetName val="分部分项工程量清单2"/>
      <sheetName val="措施费用"/>
      <sheetName val="哈尔滨万达茂分部分项工程量清单"/>
      <sheetName val="采光顶"/>
      <sheetName val="合肥万达茂分部分项工程量清单"/>
      <sheetName val="青岛万达茂分部分项工程量清单"/>
      <sheetName val="金属屋面通用分部分项工程量清单"/>
      <sheetName val="金属墙板分部分项工程量清单"/>
      <sheetName val="限定品牌材料清单"/>
      <sheetName val="工程量简表"/>
      <sheetName val="A"/>
      <sheetName val="입찰내역 발주처 양식"/>
      <sheetName val="门窗分类工程汇总表"/>
      <sheetName val="展示中心合同台帐"/>
      <sheetName val="成本科目"/>
      <sheetName val="桩基汇总表"/>
      <sheetName val="Input Sheet"/>
      <sheetName val="PTER Assumptions"/>
      <sheetName val="Assumptions"/>
      <sheetName val="Support Assumption1"/>
      <sheetName val="营销费用"/>
      <sheetName val="外管网工程清单计价汇总表"/>
      <sheetName val="外管网工程量清单计价表"/>
      <sheetName val="外管网工程综合单价表"/>
      <sheetName val="外管网工程综合单价组价明细表"/>
      <sheetName val="外管网工程清单计价汇总表41"/>
      <sheetName val="万达茂"/>
      <sheetName val="港区项目"/>
      <sheetName val="报价清单表 "/>
      <sheetName val="报价明细表"/>
      <sheetName val="分项含量  "/>
      <sheetName val="合项含量"/>
      <sheetName val="成本测算人工岛堤岸"/>
      <sheetName val="构件类型级别直径汇总表"/>
      <sheetName val="措施项目清单计价表"/>
      <sheetName val="其它项目清单计价汇总表"/>
      <sheetName val="材料暂估价表"/>
      <sheetName val="专业工程暂估价表"/>
      <sheetName val="总承包服务费计价表"/>
      <sheetName val="1∽3#土建工程量清单计价汇总表"/>
      <sheetName val="购物中心清单"/>
      <sheetName val="或有事项（售楼处及样板房）"/>
      <sheetName val="措施项目主要费用分析表一"/>
      <sheetName val="措施项目主要费用分析表二"/>
      <sheetName val="措施项目主要费用分析表三"/>
      <sheetName val="5.基础档案"/>
      <sheetName val="资料准备清单"/>
      <sheetName val="基坑四大块测算表 (调)"/>
      <sheetName val="地上结构测算表"/>
      <sheetName val="地下结构测算表"/>
      <sheetName val="土方、桩基、支护、降水工程综合单价表"/>
      <sheetName val="土方、桩基、支护、降水工程综合单价组价明细表"/>
      <sheetName val="地下四大块"/>
      <sheetName val="地下工程"/>
      <sheetName val="裙房工程"/>
      <sheetName val="塔楼工程"/>
      <sheetName val="机房工程"/>
      <sheetName val="工程量汇总"/>
      <sheetName val="(墙)清单工程量"/>
      <sheetName val="(墙)定额工程量"/>
      <sheetName val="(梁)清单工程量"/>
      <sheetName val="(梁)定额工程量"/>
      <sheetName val="(现浇板)清单工程量"/>
      <sheetName val="(现浇板)定额工程量"/>
      <sheetName val="(柱)清单工程量"/>
      <sheetName val="(柱)定额工程量"/>
      <sheetName val="(柱帽)清单工程量"/>
      <sheetName val="(柱帽)定额工程量"/>
      <sheetName val="(基础梁)清单工程量"/>
      <sheetName val="(基础梁)定额工程量"/>
      <sheetName val="(筏板基础)清单工程量"/>
      <sheetName val="(筏板基础)定额工程量"/>
      <sheetName val="(桩承台)清单工程量"/>
      <sheetName val="(桩承台)定额工程量"/>
      <sheetName val="(集水坑)清单工程量"/>
      <sheetName val="(集水坑)定额工程量"/>
      <sheetName val="(后浇带)清单工程量"/>
      <sheetName val="(后浇带)定额工程量"/>
      <sheetName val="A住宅地块部分清单"/>
      <sheetName val="B住宅地块部分清单"/>
      <sheetName val="或有事项（售楼处、地基回填"/>
      <sheetName val="B地块样板间清单"/>
      <sheetName val="措施项目临时设施"/>
      <sheetName val="报价汇总表 "/>
      <sheetName val="计价表"/>
      <sheetName val="零星项目清单"/>
      <sheetName val="成本动态数据分析表"/>
      <sheetName val="一级成本动态表"/>
      <sheetName val="二级成本动态表"/>
      <sheetName val="三级成本动态表"/>
      <sheetName val="动态成本控制总表"/>
      <sheetName val="无合同成本台帐"/>
      <sheetName val="销售(认购)"/>
      <sheetName val="自持成本支出汇总 "/>
      <sheetName val="自持物业成本明细"/>
      <sheetName val="销售成本支出汇总 "/>
      <sheetName val="销售物业成本明细 "/>
      <sheetName val="0.0目录"/>
      <sheetName val="0.1公司清单"/>
      <sheetName val="0.2填表说明"/>
      <sheetName val="1.1盈利预测"/>
      <sheetName val="1.2差异对比"/>
      <sheetName val="1.3分部业务利润"/>
      <sheetName val="1.4项目概况"/>
      <sheetName val="1.5风险提示"/>
      <sheetName val="2.1营业收入"/>
      <sheetName val="2.1.1轻资产项目商业管理费收入"/>
      <sheetName val="2.2营业成本"/>
      <sheetName val="2.2.1成本分摊 "/>
      <sheetName val="2.2.2销售成本明细"/>
      <sheetName val="2.2.3投资性房地产折旧摊销"/>
      <sheetName val="2.2.4酒店折旧摊销"/>
      <sheetName val="2.3营业税金及附加"/>
      <sheetName val="2.3.1土地增值税"/>
      <sheetName val="2.4期间费用（汇总）"/>
      <sheetName val="2.4.1期间费用（租金户、酒店分公司以外公司）"/>
      <sheetName val="2.4.1.1营销口径营销费用（支付口径）"/>
      <sheetName val="2.4.1.2财务口径营销费用"/>
      <sheetName val="2.4.1.3招商推广费"/>
      <sheetName val="2.4.1.4酒店开办费（支付口径）"/>
      <sheetName val="2.4.1.5酒店开办费（核算口径）"/>
      <sheetName val="2.4.2期间费用（租金户）"/>
      <sheetName val="2.4.3期间费用（酒店分公司）"/>
      <sheetName val="2.4.4财务费用说明"/>
      <sheetName val="2.4.5利息分摊"/>
      <sheetName val="2.5所得税费用"/>
      <sheetName val="2.5.1递延所得税资产（负债）"/>
      <sheetName val="3.1盈利预测计划控制"/>
      <sheetName val="3.2销售情况统计"/>
      <sheetName val="3.3回款分析"/>
      <sheetName val="2.2.1成本分摊"/>
      <sheetName val="2.1.2入伙收入预测变动"/>
      <sheetName val="3资产负债率预测"/>
      <sheetName val="MenuSheet"/>
      <sheetName val="collect1"/>
      <sheetName val="collect2"/>
      <sheetName val="collect3"/>
      <sheetName val="企业表"/>
      <sheetName val="索引表0"/>
      <sheetName val="索引表1"/>
      <sheetName val="初审表"/>
      <sheetName val="初审表0"/>
      <sheetName val="初审表1"/>
      <sheetName val="项目表行业1"/>
      <sheetName val="项目表行业"/>
      <sheetName val="项目表专项"/>
      <sheetName val="企业基本情况表"/>
      <sheetName val="项目基本情况表"/>
      <sheetName val="上报参数"/>
      <sheetName val="CodeSheet"/>
      <sheetName val="0.1酒店清单"/>
      <sheetName val="1.3.1酒店业主利润"/>
      <sheetName val="1.3.2租金净收益"/>
      <sheetName val="2.4期间费用"/>
      <sheetName val="源数据表"/>
      <sheetName val="人员信息表"/>
      <sheetName val="银行账户"/>
      <sheetName val="工资表明细汇总"/>
      <sheetName val="郫县工资明细表"/>
      <sheetName val="郫县营销工资明细表 "/>
      <sheetName val="李江"/>
      <sheetName val="社保款"/>
      <sheetName val="公积金"/>
      <sheetName val="使用提示"/>
      <sheetName val="0.检核"/>
      <sheetName val="1.合同台账（不含土地，四大块）"/>
      <sheetName val="1.1付款及计提明细"/>
      <sheetName val="1.2成本汇总与校验"/>
      <sheetName val="1.3合同卡片"/>
      <sheetName val="2.成本分配"/>
      <sheetName val="2.成本分配汇总"/>
      <sheetName val="2.1一次分配归集"/>
      <sheetName val="2.1.1成本分配明细(不含土地，四大块）"/>
      <sheetName val="2.1.2资本化利息分配明细"/>
      <sheetName val="2.1.3土地费用分配明细"/>
      <sheetName val="土地成本分配（附表）"/>
      <sheetName val="2.2二次分配"/>
      <sheetName val="2.3三次分配"/>
      <sheetName val="3.销售成本结转"/>
      <sheetName val="3.1收入结转明细"/>
      <sheetName val="4.自持物业成本结转"/>
      <sheetName val="6.规划经济技术指标"/>
      <sheetName val="2.2四大块"/>
      <sheetName val="2.3土地成本分配（占地面积法）"/>
      <sheetName val="3成本分配指标"/>
      <sheetName val="面积指标说明"/>
      <sheetName val="2.3.2土增税历史数据调整金额"/>
      <sheetName val="表1、营销口径营销费用（支付口径）"/>
      <sheetName val="表2、财务口径营销费用"/>
      <sheetName val="2.4.1财务费用说明"/>
      <sheetName val="2.4.2利息分摊"/>
      <sheetName val="2.5.2土增税调整影响递延所得税资产"/>
      <sheetName val="3.2回款分析"/>
      <sheetName val="3.4资产负债率控制措施"/>
      <sheetName val="新的工作表"/>
      <sheetName val="3主要配置表"/>
      <sheetName val="4建安配置表"/>
      <sheetName val="5非建安"/>
      <sheetName val="6.1建安（小高层）"/>
      <sheetName val="6.2建安（中高层）"/>
      <sheetName val="6.3建安（高层）"/>
      <sheetName val="6.4建安"/>
      <sheetName val="6.5建安（商业）"/>
      <sheetName val="6.7建安（普通地库）"/>
      <sheetName val="6.8建安"/>
      <sheetName val="7完全成本汇总表"/>
      <sheetName val="8建造成本审批表"/>
      <sheetName val="9完全成本审批表"/>
      <sheetName val="10与前版对比表"/>
      <sheetName val="11费用表"/>
      <sheetName val="12土增"/>
      <sheetName val="土地费用分摊表"/>
      <sheetName val="总包成本说明"/>
      <sheetName val="原始表-非建安测算"/>
      <sheetName val="编制说明  "/>
      <sheetName val="精装汇总"/>
      <sheetName val=" 装饰清单 "/>
      <sheetName val="配价注意事项"/>
      <sheetName val="计算式-龙骨 "/>
      <sheetName val="计算式-瓷砖排版"/>
      <sheetName val="计算式-灯槽和楼梯"/>
      <sheetName val="计算式-黑铁氟碳漆门套"/>
      <sheetName val="计算式-墙面配价"/>
      <sheetName val="主材价未填"/>
      <sheetName val="变更模拟清单"/>
      <sheetName val="3建造配置标准表"/>
      <sheetName val="4非建安"/>
      <sheetName val="5.1建安"/>
      <sheetName val="5.2建安"/>
      <sheetName val="5.3建安"/>
      <sheetName val="5.4建安"/>
      <sheetName val="5.5建安"/>
      <sheetName val="5.6建安"/>
      <sheetName val="5.7建安"/>
      <sheetName val="5.8建安"/>
      <sheetName val="6完全成本汇总表"/>
      <sheetName val="7建造成本审批表"/>
      <sheetName val="8完全成本审批表"/>
      <sheetName val="9与前版对比表"/>
      <sheetName val="10费用表"/>
      <sheetName val="11土增"/>
      <sheetName val="组团面积"/>
      <sheetName val="套数"/>
      <sheetName val="总指标"/>
      <sheetName val="单方成本测算(帐面)"/>
      <sheetName val="成本结转表(IFRS)"/>
      <sheetName val="收入与成本"/>
      <sheetName val="销售比率"/>
      <sheetName val="2、明细表"/>
      <sheetName val="枣园--建安-间接"/>
      <sheetName val="全期规划指标 "/>
      <sheetName val="BS"/>
      <sheetName val="材料费"/>
      <sheetName val="2006内部公司往来利息及调整（per entity）"/>
      <sheetName val="NAME"/>
      <sheetName val="国美商都A区外装饰幕墙工程"/>
      <sheetName val="主要材料价格表 (2)"/>
      <sheetName val="单价分析过程"/>
      <sheetName val="单位工程费汇总表（A区）"/>
      <sheetName val="措施费A区"/>
      <sheetName val="其它项目清单A区"/>
      <sheetName val="工程清单汇总"/>
      <sheetName val="单价分析表"/>
      <sheetName val="零星工作项目计价表A区"/>
      <sheetName val="取费费率A区"/>
      <sheetName val="甲控乙供"/>
      <sheetName val="甲供材汇总表"/>
      <sheetName val="甲供材料含量指标汇总表"/>
      <sheetName val="门窗"/>
      <sheetName val="穿孔铝板幕墙"/>
      <sheetName val="铁艺栏杆"/>
      <sheetName val="玻璃栏杆"/>
      <sheetName val="百页"/>
      <sheetName val="玻璃雨棚"/>
      <sheetName val="护栏"/>
      <sheetName val="材料单价明晰表"/>
      <sheetName val="4#平开窗（上悬窗）"/>
      <sheetName val="线密度总表"/>
      <sheetName val="4#幕墙窗"/>
      <sheetName val="百叶"/>
      <sheetName val="塔楼穿孔铝板"/>
      <sheetName val="幕墙"/>
      <sheetName val="工程款（天府逸家）"/>
      <sheetName val="工程款(中坝项目)"/>
      <sheetName val="土地款、大配套类（项目填制）"/>
      <sheetName val="项目资本金、民工保证金、预收监管资金等保证金类（项目填制）"/>
      <sheetName val="投标保证金"/>
      <sheetName val="成本款项汇总（中心填制）"/>
      <sheetName val="重大合同汇总（中心填制）"/>
      <sheetName val="与其他项目对比"/>
      <sheetName val="地下室业态单列汇总表"/>
      <sheetName val="与coco时代对比"/>
      <sheetName val="与云鼎对比"/>
      <sheetName val="3年内住宅小地块"/>
      <sheetName val="3年内住宅小地块资金计划"/>
      <sheetName val="开发资金计划"/>
      <sheetName val="与20130620差异"/>
      <sheetName val="大地块商业与上一版差异"/>
      <sheetName val="住宅与上一版差异"/>
      <sheetName val="住宅与拿地版差异"/>
      <sheetName val="小地块商业与上一版差异"/>
      <sheetName val="小地块商业与拿地版"/>
      <sheetName val="大地块商业与上一版差异 改格式"/>
      <sheetName val="小地块商业方案正式会与策划版"/>
      <sheetName val="住宅与上一版差异（改格式）"/>
      <sheetName val="地下室与COCO时代地下室对比"/>
      <sheetName val="各阶段汇总"/>
      <sheetName val="戊类库房成本"/>
      <sheetName val="测算底表"/>
      <sheetName val="编制说明2（预算口径资本结构模型）"/>
      <sheetName val="编制说明3（核算口径项目资本结构模型）"/>
      <sheetName val="项目资本结构模型"/>
      <sheetName val="纲要1(编制说明)"/>
      <sheetName val="纲要（二）"/>
      <sheetName val="纲要2（技术指标） "/>
      <sheetName val="纲要（三）"/>
      <sheetName val="1、标准财务指标表(xxx项目-Ⅲ-001) (2)"/>
      <sheetName val="2、规划设计指标表(xxx项目-Ⅲ-002)"/>
      <sheetName val="1、标准财务指标表(xxx项目-Ⅲ-001)"/>
      <sheetName val="3、产品方案指标表(xxx项目-Ⅲ-003)"/>
      <sheetName val="4、经营预算表（xxx项目-Ⅲ-004）"/>
      <sheetName val="5、销售预算汇总表"/>
      <sheetName val="5、销售预算（xxx项目-Ⅲ-005）"/>
      <sheetName val="5、销售预算（一期项目-Ⅲ-005）"/>
      <sheetName val="5、销售预算（二期项目-Ⅲ-005）"/>
      <sheetName val="5、销售预算（三至五期项目-Ⅲ-005）"/>
      <sheetName val="6、成本预算（xxx项目-Ⅲ-006）"/>
      <sheetName val="7、费用预算（xxx项目-Ⅲ-07）"/>
      <sheetName val="预算汇总表 (3)"/>
      <sheetName val="预算汇总表 (2)"/>
      <sheetName val="工程款支付计划 (2)"/>
      <sheetName val="预算汇总表"/>
      <sheetName val="全周期表 "/>
      <sheetName val="8、现金流量预算"/>
      <sheetName val="附8、土地增值税清算表 (合并)"/>
      <sheetName val="8、现金流量预算 (经营性)"/>
      <sheetName val="9、利润表（xxx项目-Ⅲ-009）"/>
      <sheetName val="10、总控计划（xxx项目-Ⅲ-010）"/>
      <sheetName val="12、项目预算目标（口径）差异分析表"/>
      <sheetName val="11、与前期预算差异分析表（xxx项目-Ⅲ-011） "/>
      <sheetName val="附1(1期)2015年预算"/>
      <sheetName val="附1(2期)2016年预算"/>
      <sheetName val="附1(3期)2017年预算  "/>
      <sheetName val="附1(4期)2018年预算 "/>
      <sheetName val="附2、自持物业利润预算 "/>
      <sheetName val="附3、现金流量简表（xxx项目-Ⅲ-008）"/>
      <sheetName val="附5、目标成本汇总表"/>
      <sheetName val="附6、融资规划及利息支付表"/>
      <sheetName val="附7、静态汇总表 "/>
      <sheetName val="附件8、土地增值税清算表（2）"/>
      <sheetName val="附7、静态汇总表  (1期)"/>
      <sheetName val="附7、静态汇总表  (2期)"/>
      <sheetName val="附7、静态汇总表  (3-5期)"/>
      <sheetName val="附8、土地增值税清算表"/>
      <sheetName val="附9、单方收入、成本、利润（汇总）"/>
      <sheetName val="附9、单方收入、成本、利润（1期）"/>
      <sheetName val="附9、单方收入、成本、利润 (2期)"/>
      <sheetName val="附9、单方收入、成本、利润 (3-5期) "/>
      <sheetName val="附10、总平图"/>
      <sheetName val="汇总表2"/>
      <sheetName val="100亩成本"/>
      <sheetName val="推售计划"/>
      <sheetName val="138亩项目工程款支付计划（一期）"/>
      <sheetName val="138亩项目工程款支付计划（二期）"/>
      <sheetName val="138亩地块计划策划表方案"/>
      <sheetName val="138亩项目工程款支付计划（合并)"/>
      <sheetName val="与11.04日版差异分析"/>
      <sheetName val="与12月31日版差异"/>
      <sheetName val="7月8日版本与11月4日版差异"/>
      <sheetName val="7月8日版与3月20日版差异"/>
      <sheetName val="新版差异分析"/>
      <sheetName val="2号地配置"/>
      <sheetName val=" 与8%商业差异"/>
      <sheetName val="与城市公寓B级差异"/>
      <sheetName val="与郑州贰号城邦差异"/>
      <sheetName val="项目概况对比"/>
      <sheetName val="户型"/>
      <sheetName val="户型指标"/>
      <sheetName val="项目测算配置标准"/>
      <sheetName val="地基基础"/>
      <sheetName val="政府收费"/>
      <sheetName val="产品系列配置标准"/>
      <sheetName val="台账总表"/>
      <sheetName val="08.02"/>
      <sheetName val="08.03"/>
      <sheetName val="08.04"/>
      <sheetName val="08.05"/>
      <sheetName val="08.06"/>
      <sheetName val="08.07"/>
      <sheetName val="08.08"/>
      <sheetName val="08.09"/>
      <sheetName val="08.10"/>
      <sheetName val="08.11"/>
      <sheetName val="08.12"/>
      <sheetName val="七表合一（营销部分）"/>
      <sheetName val="年度任务分解及预判"/>
      <sheetName val="虚拟项目销售分解规则"/>
      <sheetName val="土地投资"/>
      <sheetName val="预算用汇总表保底"/>
      <sheetName val="预算用汇总表 奋斗"/>
      <sheetName val="定购差异分析"/>
      <sheetName val="资源分析"/>
      <sheetName val="推售差异"/>
      <sheetName val="外墙石材"/>
      <sheetName val="外墙涂料"/>
      <sheetName val="外墙保温"/>
      <sheetName val="瓦屋面"/>
      <sheetName val="断热桥铝合金门窗"/>
      <sheetName val="地弹门"/>
      <sheetName val="轻钢雨棚"/>
      <sheetName val="外墙GRC线条"/>
      <sheetName val="主要材料损耗表"/>
      <sheetName val="动态成本汇总表（B地块）"/>
      <sheetName val="动态明细"/>
      <sheetName val="材料调差汇总"/>
      <sheetName val="全周期汇总表每季度报送"/>
      <sheetName val="本次动态口径外说明"/>
      <sheetName val="COCO时代目标成本(全周期）"/>
      <sheetName val="COCO时代B目标成本(全周期）"/>
      <sheetName val="PA(低)"/>
      <sheetName val="闭路电视 (2)"/>
      <sheetName val="闭路电视"/>
      <sheetName val="建安工程费（大地块）"/>
      <sheetName val="建安工程费（小地块）"/>
      <sheetName val="建安工程费（南充23亩）"/>
      <sheetName val="差役分析（改）"/>
      <sheetName val="给排水系统"/>
      <sheetName val="S7"/>
      <sheetName val="折旧清单_1"/>
      <sheetName val="3.2钢材材料调价表"/>
      <sheetName val="财政供养人员增幅"/>
      <sheetName val="总人口"/>
      <sheetName val="工商税收"/>
      <sheetName val="事业发展"/>
      <sheetName val="凯丽豪景文化活动中心连廊钢结构工程施工（中冶实久建设有限公司2"/>
      <sheetName val="全周期汇总表-人防车位不摊成本"/>
      <sheetName val="地下室单列汇总表 "/>
      <sheetName val="灰空间梳理"/>
      <sheetName val="业态对比"/>
      <sheetName val="优化与拍地单价对比"/>
      <sheetName val="优化与方案正式会单价对比"/>
      <sheetName val="拍地优化任务书"/>
      <sheetName val="2803优化任务书"/>
      <sheetName val="优化配置"/>
      <sheetName val="成本优化及责任单位"/>
      <sheetName val="成本现金流(不含改造）"/>
      <sheetName val="灰空间改造测算"/>
      <sheetName val="灰空间形成费用测算"/>
      <sheetName val="配置标准对比"/>
      <sheetName val="中标价分析报告"/>
      <sheetName val="护壁"/>
      <sheetName val="护壁 (2)"/>
      <sheetName val="配套设施及不可预见"/>
      <sheetName val="与原通过稿差异"/>
      <sheetName val="江都范例 (2)"/>
      <sheetName val="江都范例"/>
      <sheetName val="决算书扣款清单"/>
      <sheetName val="超目标成本申请"/>
      <sheetName val="报告"/>
      <sheetName val="合同砼及钢筋总量"/>
      <sheetName val="分析汇总表"/>
      <sheetName val="表一、配置标准表"/>
      <sheetName val="差异(A4.1)"/>
      <sheetName val="差异(邛崃coco时代a3003)"/>
      <sheetName val="差异(拿地)"/>
      <sheetName val="汇总不分地下室"/>
      <sheetName val="差异（拿地）1号地"/>
      <sheetName val="与四叶城对比"/>
      <sheetName val="差异分析（上稿通过）"/>
      <sheetName val="差异分析（与拿地）"/>
      <sheetName val="差异分析（与概算0712版）"/>
      <sheetName val="差异分析（拿地版）"/>
      <sheetName val="事务所提供数据"/>
      <sheetName val="事务所栏杆统计"/>
      <sheetName val="灰空间率"/>
      <sheetName val="COCO国际灰空间节点测算"/>
      <sheetName val="A区"/>
      <sheetName val="B区"/>
      <sheetName val="测算记录1"/>
      <sheetName val="更新表"/>
      <sheetName val="一期光彩设计"/>
      <sheetName val="二期项目商业亮相区室外雨污水及沥青道路"/>
      <sheetName val="一期入户门"/>
      <sheetName val="2期亮相区外墙面砖供货"/>
      <sheetName val="二期水保评价项目咨询"/>
      <sheetName val="继宏门窗亮相区"/>
      <sheetName val="一期燃气报警"/>
      <sheetName val="一期测绘公司"/>
      <sheetName val="二期测绘公司"/>
      <sheetName val="盛大洪涛（一期外装）"/>
      <sheetName val="盛大洪涛（一期公共部位装饰）"/>
      <sheetName val="2期消防"/>
      <sheetName val="有线电视网络安装"/>
      <sheetName val="一期总平景观设计（天开）"/>
      <sheetName val="一期直读式远程数据管理系统工程"/>
      <sheetName val="一期弱电"/>
      <sheetName val="一期外线及供配电"/>
      <sheetName val="二期商业亮相区公共区域设施"/>
      <sheetName val="一期外墙面砖采购"/>
      <sheetName val="OA流程明细表-例"/>
      <sheetName val="会议纪要"/>
      <sheetName val="会议纪要附件"/>
      <sheetName val="表3、结算项目资金计划表（1号地）"/>
      <sheetName val="表3、结算项目资金计划表（农贸市场）"/>
      <sheetName val="表3、结算项目资金计划表（3号地商业街）"/>
      <sheetName val="表3、结算项目资金计划表（4号地）"/>
      <sheetName val="表3、结算项目资金计划表（5号地）"/>
      <sheetName val="地下室汇总表"/>
      <sheetName val="安装（增加）"/>
      <sheetName val="高层 材料补差"/>
      <sheetName val="别墅 材料补差"/>
      <sheetName val="地下室 材料补差"/>
      <sheetName val="高层措施费"/>
      <sheetName val="别墅措施费"/>
      <sheetName val="地下主材"/>
      <sheetName val="高层主材"/>
      <sheetName val="别墅主材"/>
      <sheetName val="高层经济指标"/>
      <sheetName val="别墅经济指标"/>
      <sheetName val="地下室经济指标"/>
      <sheetName val="高层措施"/>
      <sheetName val="商业措施"/>
      <sheetName val="材料基础价格表"/>
      <sheetName val="高层及底商"/>
      <sheetName val="独商"/>
      <sheetName val="材料询价"/>
      <sheetName val="工程需明确事项"/>
      <sheetName val="措施费明细"/>
      <sheetName val="高层及底商措施费"/>
      <sheetName val="独商措施费"/>
      <sheetName val="8.2-土方一标段"/>
      <sheetName val="8.3-苗木移栽"/>
      <sheetName val="8.5氡浓度检测"/>
      <sheetName val="8.4规划设计"/>
      <sheetName val="8.6-基坑护壁1#地"/>
      <sheetName val="8.7-基坑护壁2#地"/>
      <sheetName val="8.8沙盘模型"/>
      <sheetName val="8.9-景观方案设计"/>
      <sheetName val="8.10售楼部室内装饰设计"/>
      <sheetName val="11-一单一结"/>
      <sheetName val="12-（咨询）结算"/>
      <sheetName val="13-签证互扣"/>
      <sheetName val="14-现场踏勘"/>
      <sheetName val="多次动态跟踪表汇总"/>
      <sheetName val="无效成本"/>
      <sheetName val="行政办公费预算汇总表"/>
      <sheetName val="行政办公费预算(部门分解）"/>
      <sheetName val="川建初勘"/>
      <sheetName val="土建总包"/>
      <sheetName val="建宇土方"/>
      <sheetName val="华野模型"/>
      <sheetName val="佳成钢构"/>
      <sheetName val="新金成装饰"/>
      <sheetName val="民工工资担保协会"/>
      <sheetName val="极致水环境"/>
      <sheetName val="博兰特"/>
      <sheetName val="施工图设计"/>
      <sheetName val="鸿浩中央空调"/>
      <sheetName val="放线测量"/>
      <sheetName val="恒基降水"/>
      <sheetName val="皇家壹号软装采购"/>
      <sheetName val="蜀鑫护壁"/>
      <sheetName val="人防特种门"/>
      <sheetName val="川建沉降"/>
      <sheetName val="思瑞安弱电"/>
      <sheetName val="广亩景观设计"/>
      <sheetName val="川建监理"/>
      <sheetName val="浦兴电梯"/>
      <sheetName val="自来水"/>
      <sheetName val="高标连砂石"/>
      <sheetName val="按地块支付汇总"/>
      <sheetName val="各项目全年支付明细"/>
      <sheetName val="销售计算表（最终）"/>
      <sheetName val="水晶分录序时簿06"/>
      <sheetName val="填报说明"/>
      <sheetName val="要务管理"/>
      <sheetName val="开发进度"/>
      <sheetName val="销售计算表"/>
      <sheetName val="销售计划表"/>
      <sheetName val="支出计划表11"/>
      <sheetName val="支出计划表"/>
      <sheetName val="成收益表"/>
      <sheetName val="管理费用表"/>
      <sheetName val="融资进度表"/>
      <sheetName val="融资费用"/>
      <sheetName val="成本分摊基础表"/>
      <sheetName val="A土地增值税测算表（普通与非普) (定额)"/>
      <sheetName val="支出计划1"/>
      <sheetName val="支出计划2"/>
      <sheetName val="支出计划3"/>
      <sheetName val="支出计划4"/>
      <sheetName val="支出计划5"/>
      <sheetName val="支出计划6"/>
      <sheetName val="支出计划7"/>
      <sheetName val="成本汇总表(建丰)"/>
      <sheetName val="成本汇总表(地产)"/>
      <sheetName val="成本汇总表(地产筹划)"/>
      <sheetName val="东福家园成本明细表"/>
      <sheetName val="东福家园地下室"/>
      <sheetName val="东福家园临街商业 "/>
      <sheetName val="东福家园集中商业"/>
      <sheetName val="东福家园住宅"/>
      <sheetName val="东福家园幼儿园"/>
      <sheetName val="东福家园公共绿地"/>
      <sheetName val="经适房1#成本明细表"/>
      <sheetName val="经适房1#地下室"/>
      <sheetName val="经适房1#临街商业"/>
      <sheetName val="经适房1#住宅"/>
      <sheetName val="经适房2#成本明细表"/>
      <sheetName val="经适房2#地下室"/>
      <sheetName val="经适房2#临街商业"/>
      <sheetName val="经适房2#住宅"/>
      <sheetName val="公租房1#成本明细表"/>
      <sheetName val="公租房1#地下室"/>
      <sheetName val="公租房1#临街商业"/>
      <sheetName val="公租房1#住宅"/>
      <sheetName val="公租房2A#成本明细表"/>
      <sheetName val="公租房2A#地下室"/>
      <sheetName val="公租房2A#临街商业"/>
      <sheetName val="公租房2A#住宅"/>
      <sheetName val="公租房2B#成本明细表"/>
      <sheetName val="公租房2B#地下室"/>
      <sheetName val="公租房2B#临街商业"/>
      <sheetName val="公租房2B#住宅"/>
      <sheetName val="公租房2B#幼儿园"/>
      <sheetName val="36班中学成本明细表"/>
      <sheetName val="分摊表"/>
      <sheetName val="计算分摊"/>
      <sheetName val="其他相关费用表"/>
      <sheetName val="诺丁山9#楼"/>
      <sheetName val="土建清单 (预拌砂浆)"/>
      <sheetName val="措施项目清单"/>
      <sheetName val="主要材料设备一览表"/>
      <sheetName val="金堂"/>
      <sheetName val="流量表"/>
      <sheetName val="平衡表"/>
      <sheetName val="股本表"/>
      <sheetName val="长期投资表"/>
      <sheetName val="投资"/>
      <sheetName val="现金流（合并）－比较 %"/>
      <sheetName val="利润表（合并）－比较%"/>
      <sheetName val="资产（合并）－比较%"/>
      <sheetName val="资产（合并）－比较"/>
      <sheetName val="利润表（合并）－比较"/>
      <sheetName val="现金流（合并）－比较"/>
      <sheetName val="现金流（合并）－本期"/>
      <sheetName val="利润表（合并）－本期"/>
      <sheetName val="资产（合并）－本期"/>
      <sheetName val="期末合并调整"/>
      <sheetName val="费用支出明细表"/>
      <sheetName val="资产（合并）－上期"/>
      <sheetName val="利润表（合并）－上期"/>
      <sheetName val="现金流（合并）－上期"/>
      <sheetName val="资产（合并）-上年度"/>
      <sheetName val="利润表（合并）-上年度"/>
      <sheetName val="现金流（合并）-上年度"/>
      <sheetName val="上期合并调整"/>
      <sheetName val="期初合并调整"/>
      <sheetName val="长期投资明细表"/>
      <sheetName val="长投-股本"/>
      <sheetName val="与方案版差异"/>
      <sheetName val="与方案版差异分析表 "/>
      <sheetName val="成本下降执行情况一览表"/>
      <sheetName val="使用指引 "/>
      <sheetName val="编码说明 "/>
      <sheetName val="测算条件及配置标准"/>
      <sheetName val="版本控制页"/>
      <sheetName val="图片"/>
      <sheetName val="本稿策划版正式会与原方案版"/>
      <sheetName val="预审会与正式会版本差异"/>
      <sheetName val="全周期汇总"/>
      <sheetName val="直接成本汇总"/>
      <sheetName val="一览明细"/>
      <sheetName val="15年1月开发成本"/>
      <sheetName val="14年12月开发成本"/>
      <sheetName val="海悦城优化落地跟踪"/>
      <sheetName val="2-基础台帐"/>
      <sheetName val="（一单一结）"/>
      <sheetName val="签订互扣"/>
      <sheetName val="4-收方管理台账 (2)"/>
      <sheetName val="收方台帐（具有台帐编号）"/>
      <sheetName val="4-收方管理台账 (3)"/>
      <sheetName val="8-预警台帐"/>
      <sheetName val="未完成非标业务"/>
      <sheetName val="已完成非标业务"/>
      <sheetName val="营销合同"/>
      <sheetName val="01号都江堰建工"/>
      <sheetName val="02号海韵天成"/>
      <sheetName val="03号明珠电力"/>
      <sheetName val="06号创域艺术"/>
      <sheetName val="11号京都君益"/>
      <sheetName val="12号四川雅典"/>
      <sheetName val="14号郑树芬室内设计"/>
      <sheetName val="16号华宇建筑设计"/>
      <sheetName val="19号重庆联盛监理"/>
      <sheetName val="20号四川鸿翔"/>
      <sheetName val="26号皇家壹号"/>
      <sheetName val="30号纳森景观"/>
      <sheetName val="032万安"/>
      <sheetName val="五交化"/>
      <sheetName val="39号、40号雅典一标段"/>
      <sheetName val="42成都浦兴商贸"/>
      <sheetName val="纳森俱乐部景观"/>
      <sheetName val="非合同-灯具"/>
      <sheetName val="非合同-负控终端"/>
      <sheetName val="非合同-6月水费"/>
      <sheetName val="47号佩尔西设计"/>
      <sheetName val="048万安"/>
      <sheetName val="50创域艺术E1-E6精装设计"/>
      <sheetName val="054万安"/>
      <sheetName val="累计变更台帐"/>
      <sheetName val="单次变更费用表"/>
      <sheetName val="单次变更工程量表"/>
      <sheetName val="差异分析说明"/>
      <sheetName val="评审报告 "/>
      <sheetName val="模板综合单价"/>
      <sheetName val="工程量明细"/>
      <sheetName val="调差材料材料基价表"/>
      <sheetName val="材料价格确认表"/>
      <sheetName val="龙门吊、吊车"/>
      <sheetName val="临时设施费"/>
      <sheetName val="施工进度计划（140424提供）"/>
      <sheetName val="劳务工单价"/>
      <sheetName val="与邛崃对比 (2)"/>
      <sheetName val="项目特殊成本"/>
      <sheetName val="成本优化表"/>
      <sheetName val="优化与方案差异"/>
      <sheetName val="各职能优化任务书 (2)"/>
      <sheetName val="优化比例"/>
      <sheetName val="成本指标 "/>
      <sheetName val="项目特殊成本 (2)"/>
      <sheetName val="各职能优化任务书"/>
      <sheetName val="与邛崃对比"/>
      <sheetName val="A03.05差异"/>
      <sheetName val="A02.04差异 "/>
      <sheetName val="版本修订说明"/>
      <sheetName val="配置标准20131212"/>
      <sheetName val="各业态建面统计（暂定）"/>
      <sheetName val="项目对比"/>
      <sheetName val="动态成本汇总表每月报送"/>
      <sheetName val="动态"/>
      <sheetName val="动态明细表"/>
      <sheetName val="合同变更明细表（含一单一结）"/>
      <sheetName val="项目测算模板"/>
      <sheetName val="落位名单"/>
      <sheetName val="coco国际"/>
      <sheetName val="COCO锦绣"/>
      <sheetName val="COCO金沙2期"/>
      <sheetName val="COCO金沙3期"/>
      <sheetName val="COCO蜜城"/>
      <sheetName val="锦绣香江"/>
      <sheetName val="幸福满庭"/>
      <sheetName val="花满庭2期"/>
      <sheetName val="重庆coco时代"/>
      <sheetName val="重庆贡山一号"/>
      <sheetName val="重庆幸福满庭"/>
      <sheetName val="重庆御江台"/>
      <sheetName val="无锡东亭112亩"/>
      <sheetName val="苏州COCO蜜园"/>
      <sheetName val="无锡COCO蜜园"/>
      <sheetName val="吴江155"/>
      <sheetName val="昆明COCO蜜城"/>
      <sheetName val="昆明天娇城"/>
      <sheetName val="青岛COCO蜜城"/>
      <sheetName val="武汉COCO时代"/>
      <sheetName val="长沙幸福满庭"/>
      <sheetName val="长沙COCO蜜城"/>
      <sheetName val="蓝光海悦城"/>
      <sheetName val="成本优化统计表"/>
      <sheetName val="无效成本统计表"/>
      <sheetName val="1201动态"/>
      <sheetName val="1201动态明细"/>
      <sheetName val="责任成本汇总表"/>
      <sheetName val="综合管理部"/>
      <sheetName val="技术管理部"/>
      <sheetName val="招标采购中心"/>
      <sheetName val="营销管理部"/>
      <sheetName val="拍地版与coco国际差异分析"/>
      <sheetName val="本次与策划修正版差异分析"/>
      <sheetName val="本次与邛崃coco时代差异分析"/>
      <sheetName val="策划版与预备会版差异分析"/>
      <sheetName val="结果"/>
      <sheetName val="经营性现金流"/>
      <sheetName val="各地块分摊成本"/>
      <sheetName val="本次与邛崃coco时代差异分析1"/>
      <sheetName val="本次与策划版差异分析"/>
      <sheetName val="成本优化方向"/>
      <sheetName val="优化责任书"/>
      <sheetName val="户内改造费用详情"/>
      <sheetName val="灰空间改造（新方案）"/>
      <sheetName val="栏杆测算（新方案）"/>
      <sheetName val="公共区域测算(新方案）"/>
      <sheetName val="各个地块分摊"/>
      <sheetName val="面积比例"/>
      <sheetName val="规划指标对比"/>
      <sheetName val="硬景"/>
      <sheetName val="植物"/>
      <sheetName val="安装部分"/>
      <sheetName val="附件一"/>
      <sheetName val="与当地项目对比"/>
      <sheetName val="与策划版行政审批差异分析"/>
      <sheetName val="与12月20日差异分析"/>
      <sheetName val="与11.11日差异分析"/>
      <sheetName val="与10.19日差异分析"/>
      <sheetName val="差异分析新版"/>
      <sheetName val="基坑测算"/>
      <sheetName val="地质调查"/>
      <sheetName val="报规通过面积指标"/>
      <sheetName val="规划指标技术提供"/>
      <sheetName val="规划指标差异分析"/>
      <sheetName val="写字楼配置"/>
      <sheetName val="地基处理表"/>
      <sheetName val="前期收费"/>
      <sheetName val="造价汇总表"/>
      <sheetName val="装修清单"/>
      <sheetName val="主要材料清单"/>
      <sheetName val="植物 "/>
      <sheetName val="一单一结"/>
      <sheetName val="水电安装 (2)"/>
      <sheetName val="认价"/>
      <sheetName val="钢构分析表"/>
      <sheetName val="一单一结清单"/>
      <sheetName val="与参考项目差异分析"/>
      <sheetName val="施工图版（降低版）与拿地版差异分析"/>
      <sheetName val="施工图版（降低版）与方案版差异分析"/>
      <sheetName val="施工图版（降低版）与施工图版差异分析"/>
      <sheetName val="钢筋调价"/>
      <sheetName val="施工用电完"/>
      <sheetName val="供配电"/>
      <sheetName val="1.2标段"/>
      <sheetName val="中冶成工"/>
      <sheetName val="发电机"/>
      <sheetName val="天兴"/>
      <sheetName val="天燃气"/>
      <sheetName val="溪谷民正"/>
      <sheetName val="扣款清单081104"/>
      <sheetName val="审计费模板"/>
      <sheetName val="审计费空白模板"/>
      <sheetName val="综合认价台帐"/>
      <sheetName val="SWPNZPSYWSLK"/>
      <sheetName val="钢材平均价"/>
      <sheetName val="商品砼调差"/>
      <sheetName val="砌体工程量"/>
      <sheetName val="门窗-抹灰"/>
      <sheetName val="门窗-腻子"/>
      <sheetName val="外墙抹灰"/>
      <sheetName val="厨卫防水"/>
      <sheetName val="保温"/>
      <sheetName val="门窗-抹灰 (2)"/>
      <sheetName val="门窗-腻子 (2)"/>
      <sheetName val="外墙抹灰 (2)"/>
      <sheetName val="桩基础清单 "/>
      <sheetName val="超高明细分析"/>
      <sheetName val="标底评审报告 "/>
      <sheetName val="土建清单汇总"/>
      <sheetName val="安装清单汇总"/>
      <sheetName val="措施费汇总"/>
      <sheetName val="调差材料基价表"/>
      <sheetName val="劳务工市场价调研统计表"/>
      <sheetName val="工程部明确事项"/>
      <sheetName val="综合单价分析表 (雅典)"/>
      <sheetName val="8.11配套市政道路施工图设计"/>
      <sheetName val="8.12售楼部弱电"/>
      <sheetName val="8.13远程监控"/>
      <sheetName val="8.14一期总包"/>
      <sheetName val="8.15二期总包"/>
      <sheetName val="8.16鸿翔售楼部内外装"/>
      <sheetName val="8.17示范区景观灯具"/>
      <sheetName val="8.19绿地提档升级和管护协议"/>
      <sheetName val="8.20店面租赁合同"/>
      <sheetName val="8.21店面租赁合同 (2)"/>
      <sheetName val="8.22俊宏景观"/>
      <sheetName val="8.23监理合同"/>
      <sheetName val="8.24鸿翔临时售楼部内装 (2)"/>
      <sheetName val="8.25主体沉降及基坑位移观测"/>
      <sheetName val="8.26A3样板间软装采购"/>
      <sheetName val="8.27汉嘉设计院"/>
      <sheetName val="8.28房屋测绘"/>
      <sheetName val="8.29一期主楼旋挖桩"/>
      <sheetName val="8.30人防设计"/>
      <sheetName val="8.31惠美花镜"/>
      <sheetName val="8.31施工临时用电"/>
      <sheetName val="8.32施工图技术审查合同"/>
      <sheetName val="8.33样板间及售楼部饰品"/>
      <sheetName val="F02-5合同总价形成"/>
      <sheetName val="蓝润·棠湖春天安装工程清单（2013.6.20）"/>
      <sheetName val="项目基本信息"/>
      <sheetName val="省三建"/>
      <sheetName val="阿尔文（主体）"/>
      <sheetName val="农民工工资"/>
      <sheetName val="履约保证金"/>
      <sheetName val="工程合同签订表"/>
      <sheetName val="工程付款明细表"/>
      <sheetName val="策划合同"/>
      <sheetName val="策划合同付款明细账"/>
      <sheetName val="HMVYYR"/>
      <sheetName val="金安厂房安装工程"/>
      <sheetName val="计算明细"/>
      <sheetName val="1∽8#土建工程量清单计价汇总表"/>
      <sheetName val="写字楼 "/>
      <sheetName val="酒店部分清单"/>
      <sheetName val="或有事项（售楼处（样板房）、开工（开业0庆典、围挡）"/>
      <sheetName val="2.工程量清单编制说明 "/>
      <sheetName val="4.3土建工程量增补清单计价表"/>
      <sheetName val="5.3安装主要材料品牌表"/>
      <sheetName val="5.4安装主要材料价格表（配电箱） "/>
      <sheetName val="5.5安装主要材料价格表（电缆）"/>
      <sheetName val="5.6安装工程量增补清单计价表"/>
      <sheetName val="7施工总承包服务费 "/>
      <sheetName val="9.其他工作项目报价清单 "/>
      <sheetName val="10.甲定乙供材料品牌 "/>
      <sheetName val="2002年一般预算收入"/>
      <sheetName val="X月度资金预算表-开发成本"/>
      <sheetName val="2015.2月"/>
      <sheetName val="-1层A入口无框玻璃隔断"/>
      <sheetName val="折叠门"/>
      <sheetName val="玻璃隔断"/>
      <sheetName val="1层结构柱"/>
      <sheetName val="-1层B入口折叠门挡板"/>
      <sheetName val="在建项目合同支付情况表"/>
      <sheetName val="二月产值"/>
      <sheetName val="东升"/>
      <sheetName val="东都"/>
      <sheetName val="华府"/>
      <sheetName val="棠湖春天"/>
      <sheetName val="棠湖·V客"/>
      <sheetName val="姚伟小组"/>
      <sheetName val="锦江"/>
      <sheetName val="在建项目合同支付情况表 (2)"/>
      <sheetName val="财务ok"/>
      <sheetName val="财务"/>
      <sheetName val="锦江春天工程付款明细表"/>
      <sheetName val="蓝客城付款台账 "/>
      <sheetName val="V客东都付款台账"/>
      <sheetName val="华府春天付款台账"/>
      <sheetName val="V客尚东付款台账"/>
      <sheetName val="V客东区付款台账"/>
      <sheetName val="温江光华春天付款台账"/>
      <sheetName val="棠湖春天付款台账"/>
      <sheetName val="棠湖V客工程付款"/>
      <sheetName val="付款台帐"/>
      <sheetName val="结算台帐"/>
      <sheetName val="变更"/>
      <sheetName val="5.1安装工程量清单计价表"/>
      <sheetName val="5.2电缆材料调价说明 "/>
      <sheetName val="与拿地版差异分析"/>
      <sheetName val="与1.1差异分析"/>
      <sheetName val="规划指标2.28"/>
      <sheetName val="总包标底单项清单评审表"/>
      <sheetName val="消防清单"/>
      <sheetName val="主要材料(设备)一览表"/>
      <sheetName val="动态成本汇总表"/>
      <sheetName val="回顾"/>
      <sheetName val="回顾明细"/>
      <sheetName val="2.1-基础台帐"/>
      <sheetName val="【84号】五冶"/>
      <sheetName val="【03号】五冶"/>
      <sheetName val="沃特"/>
      <sheetName val="汇总分析"/>
      <sheetName val="优化后光彩测算"/>
      <sheetName val="材料询价1"/>
      <sheetName val="140808光彩测算"/>
      <sheetName val="材料询价2"/>
      <sheetName val="设计估算"/>
      <sheetName val="测算单"/>
      <sheetName val="恒彩【022】"/>
      <sheetName val="鸿翔【093】"/>
      <sheetName val="A6"/>
      <sheetName val="A2"/>
      <sheetName val="A3"/>
      <sheetName val="b1"/>
      <sheetName val="a4"/>
      <sheetName val="a7"/>
      <sheetName val="b3"/>
      <sheetName val="a5"/>
      <sheetName val="b5"/>
      <sheetName val="b4"/>
      <sheetName val="金双楠项目"/>
      <sheetName val="跟踪分析表"/>
      <sheetName val="成本下降版"/>
      <sheetName val="客户基本概况表"/>
      <sheetName val="列表"/>
      <sheetName val="评估假设"/>
      <sheetName val="方案"/>
      <sheetName val="价格体系 "/>
      <sheetName val="推售 "/>
      <sheetName val="价格过程"/>
      <sheetName val="计划编修备忘录"/>
      <sheetName val="年度经济目标"/>
      <sheetName val="报批报建计划"/>
      <sheetName val="销售回款计划"/>
      <sheetName val="开盘计划"/>
      <sheetName val="现金流量计划"/>
      <sheetName val="6月概况"/>
      <sheetName val="6月明细"/>
      <sheetName val="6月累计"/>
      <sheetName val="6月应收账款"/>
      <sheetName val="指标"/>
      <sheetName val="指标原始数据"/>
      <sheetName val="定购合同6 (2)"/>
      <sheetName val="房屋合同6 (2)"/>
      <sheetName val="房屋回款6 (2)"/>
      <sheetName val="应收账款6"/>
      <sheetName val="认购1月"/>
      <sheetName val="全部拍照1.1"/>
      <sheetName val="在售1.1新"/>
      <sheetName val="全部拍照6月1日"/>
      <sheetName val="全部拍照7月1日"/>
      <sheetName val="在售6.1日"/>
      <sheetName val="在售7.1日"/>
      <sheetName val="6月认购"/>
      <sheetName val="1-6月累计认购"/>
      <sheetName val="可售资源(新)"/>
      <sheetName val="可售资源原表"/>
      <sheetName val="价一土5% "/>
      <sheetName val="价一土10%"/>
      <sheetName val="价一土15% "/>
      <sheetName val="价一土20% "/>
      <sheetName val="价一土25% "/>
      <sheetName val="价一土30%"/>
      <sheetName val="价一土4520"/>
      <sheetName val="价格体系一"/>
      <sheetName val="汇总表（地下室及基础单列）"/>
      <sheetName val="公共部分计算式"/>
      <sheetName val="装修配置"/>
      <sheetName val="aa"/>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sheetData sheetId="1388"/>
      <sheetData sheetId="1389"/>
      <sheetData sheetId="1390"/>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sheetData sheetId="6362"/>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sheetData sheetId="6460"/>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sheetData sheetId="6686"/>
      <sheetData sheetId="6687"/>
      <sheetData sheetId="6688"/>
      <sheetData sheetId="6689"/>
      <sheetData sheetId="6690"/>
      <sheetData sheetId="6691"/>
      <sheetData sheetId="6692"/>
      <sheetData sheetId="6693"/>
      <sheetData sheetId="6694"/>
      <sheetData sheetId="6695"/>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sheetData sheetId="6766" refreshError="1"/>
      <sheetData sheetId="6767" refreshError="1"/>
      <sheetData sheetId="6768" refreshError="1"/>
      <sheetData sheetId="6769" refreshError="1"/>
      <sheetData sheetId="6770" refreshError="1"/>
      <sheetData sheetId="6771" refreshError="1"/>
      <sheetData sheetId="6772" refreshError="1"/>
      <sheetData sheetId="6773"/>
      <sheetData sheetId="6774" refreshError="1"/>
      <sheetData sheetId="6775" refreshError="1"/>
      <sheetData sheetId="6776"/>
      <sheetData sheetId="6777"/>
      <sheetData sheetId="6778" refreshError="1"/>
      <sheetData sheetId="6779" refreshError="1"/>
      <sheetData sheetId="6780"/>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车库和住宅连接费用测算"/>
      <sheetName val="优化方案费用测算"/>
      <sheetName val="车库移位的费用测算"/>
      <sheetName val="建3个车库的费用测算"/>
      <sheetName val="基础单价测算"/>
      <sheetName val="基础深度统计表"/>
      <sheetName val="09年经营计划和目标成本对比"/>
      <sheetName val="面积指标简表"/>
      <sheetName val="调整费用明细"/>
      <sheetName val="土地及大配套总额"/>
      <sheetName val="土地及大配套 分摊明细"/>
      <sheetName val="前期费用汇总表"/>
      <sheetName val="平层建安汇总"/>
      <sheetName val="跃层建安汇总"/>
      <sheetName val="人防建安汇总"/>
      <sheetName val="公共部位装修汇总"/>
      <sheetName val="用电负荷估算表"/>
      <sheetName val="公用配套设施"/>
      <sheetName val="公配分摊明细"/>
      <sheetName val="指标变化对比表"/>
      <sheetName val="指标变化对比表 (上市)"/>
      <sheetName val="成本变化指标对比表"/>
      <sheetName val="成本变化指标对比表 (2)"/>
      <sheetName val="项目总表"/>
      <sheetName val="进度计划"/>
      <sheetName val="项目财务指标 (含筹资)"/>
      <sheetName val="会计利润"/>
      <sheetName val="现金流"/>
      <sheetName val="会计利润简表"/>
      <sheetName val="现金流简表"/>
      <sheetName val="现金流 (2)"/>
      <sheetName val="新现金流"/>
      <sheetName val="开发节奏"/>
      <sheetName val="资本化利息基础表"/>
      <sheetName val="待转化-利润贡献"/>
      <sheetName val="待转化"/>
      <sheetName val="会计毛利"/>
      <sheetName val="节奏成本"/>
      <sheetName val="工程付款计划"/>
      <sheetName val="工程款付款计划1"/>
      <sheetName val="销售周期表"/>
      <sheetName val="销售简表"/>
      <sheetName val="土增"/>
      <sheetName val="跃层建安费"/>
      <sheetName val="资本化利息"/>
      <sheetName val="汇总表"/>
      <sheetName val="综合指标表"/>
      <sheetName val="项目配置标准表"/>
      <sheetName val="前期费"/>
      <sheetName val="0627与启动会对比"/>
      <sheetName val="0627与0415责任书对比"/>
      <sheetName val="住宅成本明细表"/>
      <sheetName val="别墅车库成本明细表"/>
      <sheetName val="7期人防成本明细表 "/>
      <sheetName val="7期幼儿园成本明细表"/>
      <sheetName val="叠拼车库成本明细"/>
      <sheetName val="高层车库成本明细"/>
      <sheetName val="高层建安费"/>
      <sheetName val="公寓建安分析表"/>
      <sheetName val="高层建安费1#楼基础5#楼主体"/>
      <sheetName val="高层建安2#楼"/>
      <sheetName val="商业建安费 "/>
      <sheetName val="15-2商业建安费 A-C段"/>
      <sheetName val="15-3商业参考15-2系数不同点做调整"/>
      <sheetName val="A-1联排地上建安分析表"/>
      <sheetName val="A-1联排建安地下部分"/>
      <sheetName val="联排地下车库"/>
      <sheetName val="叠拼地上"/>
      <sheetName val="叠拼地下"/>
      <sheetName val="15-2高层、叠拼、商业车库建安费"/>
      <sheetName val="消防"/>
      <sheetName val="环境"/>
      <sheetName val="项目财务指标(不含筹资）"/>
      <sheetName val="外檐材质变化对比表"/>
      <sheetName val="车库建安汇总"/>
      <sheetName val="15-3景观"/>
      <sheetName val="15-2景观"/>
      <sheetName val="电梯明细表"/>
      <sheetName val="智能化 "/>
      <sheetName val="公共部位装修预算"/>
      <sheetName val="Sheet1"/>
      <sheetName val="Sheet2"/>
      <sheetName val="Sheet3"/>
      <sheetName val="G.1R-Shou COP Gf"/>
      <sheetName val="基本设置"/>
      <sheetName val="数据"/>
      <sheetName val="水平区"/>
      <sheetName val="子管理区"/>
      <sheetName val="干线区"/>
      <sheetName val="主管理区"/>
      <sheetName val="材料报价单"/>
      <sheetName val="辅助材料报价单"/>
      <sheetName val="总报价单"/>
      <sheetName val="自用材料报价单"/>
      <sheetName val="Sheet15"/>
      <sheetName val="Sheet16"/>
      <sheetName val="Macro1"/>
      <sheetName val="项目指标"/>
      <sheetName val="合同台账"/>
      <sheetName val="动态成本"/>
      <sheetName val="付款台账"/>
      <sheetName val="附表1"/>
      <sheetName val="SW-TEO"/>
      <sheetName val="Main"/>
      <sheetName val="清单1"/>
      <sheetName val="B&amp;P"/>
      <sheetName val="方案4"/>
      <sheetName val="XL4Poppy"/>
      <sheetName val="Open"/>
      <sheetName val="KKKKKKKK"/>
      <sheetName val="系数516"/>
      <sheetName val="99CCTV"/>
      <sheetName val="原材料单价分析"/>
      <sheetName val="eqpmad2"/>
      <sheetName val="POWER ASSUMPTIONS"/>
      <sheetName val="每日C02年费用"/>
      <sheetName val="Toolbox"/>
      <sheetName val="Mp-team 1"/>
      <sheetName val="Financ. Overview"/>
      <sheetName val="产量"/>
      <sheetName val="停机日报(1)"/>
      <sheetName val="停机日报(2)"/>
      <sheetName val="停机日报(3)"/>
      <sheetName val="停机日报(4)"/>
      <sheetName val="停机日报(5)"/>
      <sheetName val="停机日报(6)"/>
      <sheetName val="停机日报(7)"/>
      <sheetName val="停机日报（8）"/>
      <sheetName val="停机日报(9)"/>
      <sheetName val="停机日报(10)"/>
      <sheetName val="停机日报(13)"/>
      <sheetName val="停机日报(14)"/>
      <sheetName val="停机日报(15)"/>
      <sheetName val="停机日报(16)"/>
      <sheetName val="停机日报(17)"/>
      <sheetName val="停机日报(18)"/>
      <sheetName val="停机日报(19)"/>
      <sheetName val="停机日报(20)"/>
      <sheetName val="停机日报(21)"/>
      <sheetName val="停机日报(22)"/>
      <sheetName val="停机日报(23)"/>
      <sheetName val="停机日报(24)"/>
      <sheetName val="停机日报(27)"/>
      <sheetName val="停机日报(28)"/>
      <sheetName val="停机日报(29)"/>
      <sheetName val="停机日报(30)"/>
      <sheetName val="传真1(7)"/>
      <sheetName val="传真2"/>
      <sheetName val="传真1(8)"/>
      <sheetName val="传真1(9)"/>
      <sheetName val="传真1(10)"/>
      <sheetName val="传真1(14)"/>
      <sheetName val="传真1(15)"/>
      <sheetName val="传真1(16)"/>
      <sheetName val="传真2(16)"/>
      <sheetName val="传真1(17)"/>
      <sheetName val="传真2(17)"/>
      <sheetName val="传真1(18)"/>
      <sheetName val="传真2(18)"/>
      <sheetName val="传真1(19)"/>
      <sheetName val="传真2(19)"/>
      <sheetName val="传真1(20)"/>
      <sheetName val="传真2(20)"/>
      <sheetName val="传真1(21)"/>
      <sheetName val="传真2(21)"/>
      <sheetName val="传真1(22)"/>
      <sheetName val="传真2(22)"/>
      <sheetName val="传真1(23)"/>
      <sheetName val="传真2(23)"/>
      <sheetName val="传真1(24)"/>
      <sheetName val="传真2(24)"/>
      <sheetName val="传真1(27)"/>
      <sheetName val="传真2(27)"/>
      <sheetName val="传真1(28)"/>
      <sheetName val="传真2(28)"/>
      <sheetName val="传真1(29)"/>
      <sheetName val="传真2(29)"/>
      <sheetName val="传真1(30)"/>
      <sheetName val="传真2(30)"/>
      <sheetName val="Sheet8"/>
      <sheetName val="水线停机 (3)"/>
      <sheetName val="水线停机 (10)"/>
      <sheetName val="月TP停机累计（10）"/>
      <sheetName val="can停机 (10)"/>
      <sheetName val="吹瓶停机 (2)"/>
      <sheetName val="吹瓶停机 (10)"/>
      <sheetName val="Sheet5"/>
      <sheetName val="TP产品停机(10)"/>
      <sheetName val="投料桶明细(10)"/>
      <sheetName val="排序备份"/>
      <sheetName val="Sheet4"/>
      <sheetName val="按线停机(10) "/>
      <sheetName val="产量明细(10)"/>
      <sheetName val="停机 "/>
      <sheetName val="停机4"/>
      <sheetName val="停机5"/>
      <sheetName val="停机6"/>
      <sheetName val="停机7"/>
      <sheetName val="停机8"/>
      <sheetName val="停机9"/>
      <sheetName val="停机10"/>
      <sheetName val="停机11"/>
      <sheetName val="停机12"/>
      <sheetName val="停机13"/>
      <sheetName val="停机14"/>
      <sheetName val="停机15"/>
      <sheetName val="停机16"/>
      <sheetName val="停机17"/>
      <sheetName val="停机18"/>
      <sheetName val="停机19"/>
      <sheetName val="停机20"/>
      <sheetName val="停机21"/>
      <sheetName val="停机22"/>
      <sheetName val="停机23"/>
      <sheetName val="停机24"/>
      <sheetName val="停机25"/>
      <sheetName val="停机26"/>
      <sheetName val="停机27"/>
      <sheetName val="停机28"/>
      <sheetName val="停机31"/>
      <sheetName val="生产效率 (2)"/>
      <sheetName val="传真 (8)"/>
      <sheetName val="传真 (9)"/>
      <sheetName val="传真 (10)"/>
      <sheetName val="制造工时"/>
      <sheetName val="排程"/>
      <sheetName val="产量 (2)"/>
      <sheetName val="综合月报(10)"/>
      <sheetName val="会计利润表"/>
      <sheetName val="现金流量表"/>
      <sheetName val="IRR"/>
      <sheetName val="会计毛利表"/>
      <sheetName val="融资及财务费用"/>
      <sheetName val="利息资本化"/>
      <sheetName val="目标成本模版目录"/>
      <sheetName val="直接成本审批表"/>
      <sheetName val="建造成本审批表"/>
      <sheetName val="付款表新"/>
      <sheetName val="全项目综合指标表"/>
      <sheetName val="当期综合指标表"/>
      <sheetName val="配置标准表"/>
      <sheetName val="成本汇总表"/>
      <sheetName val="非建安测算表"/>
      <sheetName val="建测（高层）北区123"/>
      <sheetName val="建测（地商）"/>
      <sheetName val="建测（商业街）"/>
      <sheetName val="建测（底商）"/>
      <sheetName val="建测（公寓）4"/>
      <sheetName val="建测（公寓）5"/>
      <sheetName val="建测（超高层）67"/>
      <sheetName val="建测（车库）"/>
      <sheetName val="建安测算表（土方、地基）"/>
      <sheetName val="建测（原表）"/>
      <sheetName val="联络单"/>
      <sheetName val="报告目录"/>
      <sheetName val="与预算分析说明"/>
      <sheetName val="与去年分析说明"/>
      <sheetName val="损益汇总当月"/>
      <sheetName val="损益累计汇总"/>
      <sheetName val="管理损益当月"/>
      <sheetName val="管理损益累计"/>
      <sheetName val="产品别损益(自当)"/>
      <sheetName val="产品别损益(调拨)"/>
      <sheetName val="产品别损益(全当)"/>
      <sheetName val="产品别损益(自累)"/>
      <sheetName val="产品别损益(全累)"/>
      <sheetName val="低价面边际贡献（当月）"/>
      <sheetName val="低价面过际贡献（累计"/>
      <sheetName val="地区别损益当月-1"/>
      <sheetName val="地区别损益当月-2"/>
      <sheetName val="地区别损益累计-1"/>
      <sheetName val="地区别损益累计-2"/>
      <sheetName val="销售数量分析 "/>
      <sheetName val="销售金额分析"/>
      <sheetName val="毛利价量差分析(新)"/>
      <sheetName val="毛利价量差分析(当月"/>
      <sheetName val="产品别材料价量差"/>
      <sheetName val="原材料材料价量差"/>
      <sheetName val="制造费用比较表 "/>
      <sheetName val="生产部门别制造费用分析 "/>
      <sheetName val="制造费用差异分析"/>
      <sheetName val="部门别制造费用差异分析"/>
      <sheetName val="产成品单箱成本 "/>
      <sheetName val="粉包单成本"/>
      <sheetName val="酱包单成本"/>
      <sheetName val="PSP碗单箱制造费用分析"/>
      <sheetName val="纸箱单箱制造费用分析"/>
      <sheetName val="水电价量差"/>
      <sheetName val="销售费用7"/>
      <sheetName val="部门别销售费用7"/>
      <sheetName val="销售费用差异分析"/>
      <sheetName val="运输费用7"/>
      <sheetName val="促销费用明细"/>
      <sheetName val="管理费用比较表"/>
      <sheetName val="部门别管理费用"/>
      <sheetName val="管理费用差异分析"/>
      <sheetName val="财务费用"/>
      <sheetName val="其他业务收支"/>
      <sheetName val="营业外收支"/>
      <sheetName val="杭州调"/>
      <sheetName val="普查库示例"/>
      <sheetName val="7-1"/>
      <sheetName val="2月6日"/>
      <sheetName val="NEW"/>
      <sheetName val="#REF"/>
      <sheetName val="TRIAL3"/>
      <sheetName val="G-PROF1"/>
      <sheetName val="Sheet9"/>
      <sheetName val="方案1"/>
      <sheetName val="5.1-销售数量及金额 湖北"/>
      <sheetName val="jhcyl"/>
      <sheetName val="景观硬景"/>
      <sheetName val="苗木"/>
      <sheetName val="市政排水"/>
      <sheetName val="水电"/>
      <sheetName val="汇总"/>
      <sheetName val="责任书封面"/>
      <sheetName val="主界面"/>
      <sheetName val="查询表"/>
      <sheetName val="销售分解"/>
      <sheetName val="期间费用及薪酬"/>
      <sheetName val="利润估算"/>
      <sheetName val="现金流量"/>
      <sheetName val="附表2-销售分析"/>
      <sheetName val="附表3-开发计划"/>
      <sheetName val="附表4-招标计划"/>
      <sheetName val="附表5-合作单位"/>
      <sheetName val="_x0000__x0000__x0000__x0000__x0000__x0000__x0000__x0000_"/>
      <sheetName val="_x005f_x0000__x005f_x0000__x005f_x0000__x005f_x0000__x0"/>
      <sheetName val="_x0000__x0000__x0000__x0000__x0"/>
      <sheetName val="_x005f_x0000__x005f_x0000__x005"/>
      <sheetName val="Drop Down"/>
      <sheetName val="_REF!"/>
      <sheetName val="本期发生"/>
      <sheetName val="11度华丹"/>
      <sheetName val="13度高浓"/>
      <sheetName val="13度分配表"/>
      <sheetName val="13.65度雪花"/>
      <sheetName val="13.6雪花分配表"/>
      <sheetName val="13.65度沈阳"/>
      <sheetName val="13.65沈阳分配表"/>
      <sheetName val="11度干啤"/>
      <sheetName val="酵造过滤分配"/>
      <sheetName val="新水分配表"/>
      <sheetName val="酿造煤水电"/>
      <sheetName val="酿造麦芽"/>
      <sheetName val="煤水电备份 "/>
      <sheetName val="10.5度成本表"/>
      <sheetName val="11度雪成本表"/>
      <sheetName val="11度亚特成本表"/>
      <sheetName val="雪花干成本表"/>
      <sheetName val="华丹成本表"/>
      <sheetName val="11度沈阳鲜成本表"/>
      <sheetName val="制品辅料"/>
      <sheetName val="制品煤水电"/>
      <sheetName val="制品瓶盖商标"/>
      <sheetName val="雪花分配表"/>
      <sheetName val="雪花干分配表"/>
      <sheetName val="沈阳鲜分配表"/>
      <sheetName val="华丹分配"/>
      <sheetName val="桶酒15L"/>
      <sheetName val="桶酒20L"/>
      <sheetName val="桶酒30L"/>
      <sheetName val="桶酒10L"/>
      <sheetName val="桶酒5L"/>
      <sheetName val="桶酒20L (雪) "/>
      <sheetName val="桶酒30L (雪)  "/>
      <sheetName val="桶酒15L(华）"/>
      <sheetName val="桶酒20L（华）"/>
      <sheetName val="桶酒30L（华）"/>
      <sheetName val="桶酒20L(雪花干）"/>
      <sheetName val="核算项目余额表"/>
      <sheetName val="*REF!"/>
      <sheetName val="说明"/>
      <sheetName val="销量"/>
      <sheetName val="共享"/>
      <sheetName val="促销活动"/>
      <sheetName val="活动"/>
      <sheetName val="总表"/>
      <sheetName val="±¾ÆÚ·¢Éú"/>
      <sheetName val="11¶È»ªµ¤"/>
      <sheetName val="13¶È¸ßÅ¨"/>
      <sheetName val="13¶È·ÖÅä±í"/>
      <sheetName val="13.65¶ÈÑ©»¨"/>
      <sheetName val="13.6Ñ©»¨·ÖÅä±í"/>
      <sheetName val="13.65¶ÈÉòÑô"/>
      <sheetName val="13.65ÉòÑô·ÖÅä±í"/>
      <sheetName val="11¶È¸ÉÆ¡"/>
      <sheetName val="½ÍÔì¹ýÂË·ÖÅä"/>
      <sheetName val="ÐÂË®·ÖÅä±í"/>
      <sheetName val="ÄðÔìÃºË®µç"/>
      <sheetName val="ÄðÔìÂóÑ¿"/>
      <sheetName val="»ã×Ü±í"/>
      <sheetName val="ÃºË®µç±¸·Ý "/>
      <sheetName val="10.5¶È³É±¾±í"/>
      <sheetName val="11¶ÈÑ©³É±¾±í"/>
      <sheetName val="11¶ÈÑÇÌØ³É±¾±í"/>
      <sheetName val="Ñ©»¨¸É³É±¾±í"/>
      <sheetName val="»ªµ¤³É±¾±í"/>
      <sheetName val="11¶ÈÉòÑôÏÊ³É±¾±í"/>
      <sheetName val="ÖÆÆ·¸¨ÁÏ"/>
      <sheetName val="ÖÆÆ·ÃºË®µç"/>
      <sheetName val="ÖÆÆ·Æ¿¸ÇÉÌ±ê"/>
      <sheetName val="Ñ©»¨·ÖÅä±í"/>
      <sheetName val="Ñ©»¨¸É·ÖÅä±í"/>
      <sheetName val="ÉòÑôÏÊ·ÖÅä±í"/>
      <sheetName val="»ªµ¤·ÖÅä"/>
      <sheetName val="Í°¾Æ15L"/>
      <sheetName val="Í°¾Æ20L"/>
      <sheetName val="Í°¾Æ30L"/>
      <sheetName val="Í°¾Æ10L"/>
      <sheetName val="Í°¾Æ5L"/>
      <sheetName val="Í°¾Æ20L (Ñ©) "/>
      <sheetName val="Í°¾Æ30L (Ñ©)  "/>
      <sheetName val="Í°¾Æ15L(»ª£©"/>
      <sheetName val="Í°¾Æ20L£¨»ª£©"/>
      <sheetName val="Í°¾Æ30L£¨»ª£©"/>
      <sheetName val="Í°¾Æ20L(Ñ©»¨¸É£©"/>
      <sheetName val="ËµÃ÷"/>
      <sheetName val="ÏúÁ¿"/>
      <sheetName val="¹²Ïí"/>
      <sheetName val="´ÙÏú»î¶¯"/>
      <sheetName val="»î¶¯"/>
      <sheetName val="×Ü±í"/>
      <sheetName val="ºËËãÏîÄ¿Óà¶î±í"/>
      <sheetName val="¡À??¨²¡¤¡é¨¦¨²"/>
      <sheetName val="11?¨¨?a¦Ì¡è"/>
      <sheetName val="13?¨¨???¡§"/>
      <sheetName val="13?¨¨¡¤???¡À¨ª"/>
      <sheetName val="13.65?¨¨???¡§"/>
      <sheetName val="13.6???¡§¡¤???¡À¨ª"/>
      <sheetName val="13.65?¨¨¨¦¨°??"/>
      <sheetName val="13.65¨¦¨°??¡¤???¡À¨ª"/>
      <sheetName val="11?¨¨?¨¦??"/>
      <sheetName val="?¨ª?¨¬1y??¡¤???"/>
      <sheetName val="D???¡¤???¡À¨ª"/>
      <sheetName val="?e?¨¬?o??¦Ì?"/>
      <sheetName val="?e?¨¬?¨®??"/>
      <sheetName val="??¡Á¨¹¡À¨ª"/>
      <sheetName val="?o??¦Ì?¡À?¡¤Y "/>
      <sheetName val="10.5?¨¨3¨¦¡À?¡À¨ª"/>
      <sheetName val="11?¨¨??3¨¦¡À?¡À¨ª"/>
      <sheetName val="11?¨¨??¨¬?3¨¦¡À?¡À¨ª"/>
      <sheetName val="???¡§?¨¦3¨¦¡À?¡À¨ª"/>
      <sheetName val="?a¦Ì¡è3¨¦¡À?¡À¨ª"/>
      <sheetName val="11?¨¨¨¦¨°???¨º3¨¦¡À?¡À¨ª"/>
      <sheetName val="???¡¤?¡§¨¢?"/>
      <sheetName val="???¡¤?o??¦Ì?"/>
      <sheetName val="???¡¤????¨¦¨¬¡À¨º"/>
      <sheetName val="???¡§¡¤???¡À¨ª"/>
      <sheetName val="???¡§?¨¦¡¤???¡À¨ª"/>
      <sheetName val="¨¦¨°???¨º¡¤???¡À¨ª"/>
      <sheetName val="?a¦Ì¡è¡¤???"/>
      <sheetName val="¨ª¡ã??15L"/>
      <sheetName val="¨ª¡ã??20L"/>
      <sheetName val="¨ª¡ã??30L"/>
      <sheetName val="¨ª¡ã??10L"/>
      <sheetName val="¨ª¡ã??5L"/>
      <sheetName val="¨ª¡ã??20L (??) "/>
      <sheetName val="¨ª¡ã??30L (??)  "/>
      <sheetName val="¨ª¡ã??15L(?a¡ê?"/>
      <sheetName val="¨ª¡ã??20L¡ê¡§?a¡ê?"/>
      <sheetName val="¨ª¡ã??30L¡ê¡§?a¡ê?"/>
      <sheetName val="¨ª¡ã??20L(???¡§?¨¦¡ê?"/>
      <sheetName val="?¦Ì?¡Â"/>
      <sheetName val="?¨²¨¢?"/>
      <sheetName val="12?¨ª"/>
      <sheetName val="¡ä¨´?¨²???¡¥"/>
      <sheetName val="???¡¥"/>
      <sheetName val="¡Á¨¹¡À¨ª"/>
      <sheetName val="o???????¨®¨¤??¡À¨ª"/>
      <sheetName val="B"/>
      <sheetName val="¡À__¨²¡¤¡é¨¦¨²"/>
      <sheetName val="11_¨¨_a¦Ì¡è"/>
      <sheetName val="13_¨¨___¡§"/>
      <sheetName val="13_¨¨¡¤___¡À¨ª"/>
      <sheetName val="13.65_¨¨___¡§"/>
      <sheetName val="13.6___¡§¡¤___¡À¨ª"/>
      <sheetName val="13.65_¨¨¨¦¨°__"/>
      <sheetName val="13.65¨¦¨°__¡¤___¡À¨ª"/>
      <sheetName val="11_¨¨_¨¦__"/>
      <sheetName val="_¨ª_¨¬1y__¡¤___"/>
      <sheetName val="D___¡¤___¡À¨ª"/>
      <sheetName val="_e_¨¬_o__¦Ì_"/>
      <sheetName val="_e_¨¬_¨®__"/>
      <sheetName val="__¡Á¨¹¡À¨ª"/>
      <sheetName val="_o__¦Ì_¡À_¡¤Y "/>
      <sheetName val="10.5_¨¨3¨¦¡À_¡À¨ª"/>
      <sheetName val="11_¨¨__3¨¦¡À_¡À¨ª"/>
      <sheetName val="11_¨¨__¨¬_3¨¦¡À_¡À¨ª"/>
      <sheetName val="___¡§_¨¦3¨¦¡À_¡À¨ª"/>
      <sheetName val="_a¦Ì¡è3¨¦¡À_¡À¨ª"/>
      <sheetName val="11_¨¨¨¦¨°___¨º3¨¦¡À_¡À¨ª"/>
      <sheetName val="___¡¤_¡§¨¢_"/>
      <sheetName val="___¡¤_o__¦Ì_"/>
      <sheetName val="___¡¤____¨¦¨¬¡À¨º"/>
      <sheetName val="___¡§¡¤___¡À¨ª"/>
      <sheetName val="___¡§_¨¦¡¤___¡À¨ª"/>
      <sheetName val="¨¦¨°___¨º¡¤___¡À¨ª"/>
      <sheetName val="_a¦Ì¡è¡¤___"/>
      <sheetName val="¨ª¡ã__15L"/>
      <sheetName val="¨ª¡ã__20L"/>
      <sheetName val="¨ª¡ã__30L"/>
      <sheetName val="¨ª¡ã__10L"/>
      <sheetName val="¨ª¡ã__5L"/>
      <sheetName val="¨ª¡ã__20L (__) "/>
      <sheetName val="¨ª¡ã__30L (__)  "/>
      <sheetName val="¨ª¡ã__15L(_a¡ê_"/>
      <sheetName val="¨ª¡ã__20L¡ê¡§_a¡ê_"/>
      <sheetName val="¨ª¡ã__30L¡ê¡§_a¡ê_"/>
      <sheetName val="¨ª¡ã__20L(___¡§_¨¦¡ê_"/>
      <sheetName val="_¦Ì_¡Â"/>
      <sheetName val="_¨²¨¢_"/>
      <sheetName val="12_¨ª"/>
      <sheetName val="¡ä¨´_¨²___¡¥"/>
      <sheetName val="___¡¥"/>
      <sheetName val="o_______¨®¨¤__¡À¨ª"/>
      <sheetName val="22号"/>
      <sheetName val="gvl"/>
      <sheetName val="所得税凭证抽查"/>
      <sheetName val="POWERASSUMPTIONS"/>
      <sheetName val="序列表"/>
      <sheetName val="发现问题汇总"/>
      <sheetName val="Control List"/>
      <sheetName val="Name list"/>
      <sheetName val="checklist"/>
      <sheetName val="各公司国际会计准则下报表"/>
      <sheetName val="POA"/>
      <sheetName val="IFRS"/>
      <sheetName val="PwC"/>
      <sheetName val="A-1货币资金明细表"/>
      <sheetName val="RP A-1货币资金汇总表(不用填写)"/>
      <sheetName val="A-2-1内部往来明细"/>
      <sheetName val="A-2-3 应收应付关联方明细"/>
      <sheetName val="RP A-2-3 应收应付关联方汇总表(不用填写)"/>
      <sheetName val="A-3 应收帐款明细表"/>
      <sheetName val="RP A-3应收帐款汇总表(不用填写) "/>
      <sheetName val="A-4 预付帐款明细表"/>
      <sheetName val="A-5其他应收款明细表"/>
      <sheetName val="A-6-1 POC计算表"/>
      <sheetName val="A-6-2 POC调整分录"/>
      <sheetName val="A-6-4 存货预提调整分录"/>
      <sheetName val="A-6-5 存货明细表"/>
      <sheetName val="RP A-6 存货汇总表(不用填写)"/>
      <sheetName val="A-7 待摊费用明细表"/>
      <sheetName val="A-8 长期投资明细表"/>
      <sheetName val="A-9 固定资产变动表"/>
      <sheetName val="A-10 其他长期资产明细表"/>
      <sheetName val="L-1 短期借款明细表"/>
      <sheetName val="RP L-1 短期借款(不用填写)"/>
      <sheetName val="L-2 长期借款明细表"/>
      <sheetName val="RP L-2 长期借款(不用填写)"/>
      <sheetName val="L-3 应付帐款"/>
      <sheetName val="L-4 其他应付款明细表"/>
      <sheetName val="L-5 应交税金"/>
      <sheetName val="L-6 其它流动负债科目"/>
      <sheetName val="L-7 工资福利费"/>
      <sheetName val="L-8 资本承担"/>
      <sheetName val="C-1 所有者权益"/>
      <sheetName val="PL-1 收入成本明细表"/>
      <sheetName val="PL-2 其它业务利润"/>
      <sheetName val="PL-3 销售及管理费用明细表"/>
      <sheetName val="RP PL-3 经营溢利（不用填写）"/>
      <sheetName val="PL-4 财务费用明细表"/>
      <sheetName val="RP PL-4 财务费用"/>
      <sheetName val="PL-5 利息资本化计算表"/>
      <sheetName val="RP PL-6 所得税费用"/>
      <sheetName val="绿化"/>
      <sheetName val="景观"/>
      <sheetName val="Backup of Backup of LINDA LISTO"/>
      <sheetName val="1-6月客戶數"/>
      <sheetName val="預算目標"/>
      <sheetName val="分布1"/>
      <sheetName val="XXXXX"/>
      <sheetName val="jhcyl(dl)"/>
      <sheetName val="关系"/>
      <sheetName val="bcjhc"/>
      <sheetName val="练习"/>
      <sheetName val="jhcxl"/>
      <sheetName val="费分及成本"/>
      <sheetName val="面单累计"/>
      <sheetName val="本月面单"/>
      <sheetName val="预算面单"/>
      <sheetName val="原物料JLC"/>
      <sheetName val="jlc空表"/>
      <sheetName val="面标"/>
      <sheetName val="JLC新"/>
      <sheetName val="jlc汇总"/>
      <sheetName val="福60"/>
      <sheetName val="福香脆"/>
      <sheetName val="干脆d"/>
      <sheetName val="康大袋24入"/>
      <sheetName val="好滋味d"/>
      <sheetName val="超福24入"/>
      <sheetName val="精袋差d"/>
      <sheetName val="霸24入差d"/>
      <sheetName val="精碗差d"/>
      <sheetName val="霸碗d"/>
      <sheetName val="辣系列碗"/>
      <sheetName val="新牛纸碗d"/>
      <sheetName val="辣系列袋"/>
      <sheetName val="赠量福满多d"/>
      <sheetName val="什锦d"/>
      <sheetName val="珍品差(虾袋)"/>
      <sheetName val="小干脆成本"/>
      <sheetName val="小干脆"/>
      <sheetName val="小干脆差"/>
      <sheetName val="沈阳"/>
      <sheetName val="重庆"/>
      <sheetName val="付款计划"/>
      <sheetName val="销售计划"/>
      <sheetName val="管理费用12"/>
      <sheetName val="管理费用11"/>
      <sheetName val="销售费用"/>
      <sheetName val="税款"/>
      <sheetName val="融资财务费用"/>
      <sheetName val="资产负债变动"/>
      <sheetName val="土增（查账）"/>
      <sheetName val="土地"/>
      <sheetName val="bs&amp;pl"/>
      <sheetName val="填写要求"/>
      <sheetName val="ADJ"/>
      <sheetName val="附注"/>
      <sheetName val="管理费"/>
      <sheetName val="Index"/>
      <sheetName val="科目余额表"/>
      <sheetName val="银行存款"/>
      <sheetName val="固定资产"/>
      <sheetName val="预收账款"/>
      <sheetName val="回款核对"/>
      <sheetName val="销售及结转"/>
      <sheetName val="税金"/>
      <sheetName val="预付税金"/>
      <sheetName val="CF资料"/>
      <sheetName val="所得及递延税"/>
      <sheetName val="土增递延"/>
      <sheetName val="内部关联往来"/>
      <sheetName val="应收款"/>
      <sheetName val="借款"/>
      <sheetName val="销售费"/>
      <sheetName val="销售费计提"/>
      <sheetName val="纳税调整"/>
      <sheetName val="存货"/>
      <sheetName val="资本承担（新）"/>
      <sheetName val="付款核对"/>
      <sheetName val="收入成本"/>
      <sheetName val="在建物业"/>
      <sheetName val=" 成本结转（新）"/>
      <sheetName val="应付款"/>
      <sheetName val="科目余额1月"/>
      <sheetName val="科目余额"/>
      <sheetName val="金融资产"/>
      <sheetName val="无形资产"/>
      <sheetName val="股权投资"/>
      <sheetName val="土地(总)"/>
      <sheetName val="产值"/>
      <sheetName val="土地(08年)"/>
      <sheetName val="总土地(09.03)"/>
      <sheetName val="土摊测算"/>
      <sheetName val="土地分摊"/>
      <sheetName val="建造成本"/>
      <sheetName val="间接费"/>
      <sheetName val="间接费分摊"/>
      <sheetName val="财务费"/>
      <sheetName val="土增税"/>
      <sheetName val="其他净收益"/>
      <sheetName val="权益变动"/>
      <sheetName val="土增(车库成本70%，建安成本全进））"/>
      <sheetName val="土增（车库成本70%，建安成本86%）"/>
      <sheetName val="重大节点"/>
      <sheetName val="12年销售费用"/>
      <sheetName val="4亿开发贷四五六期资本化"/>
      <sheetName val="土增（车库面积、成本、收入都计算）"/>
      <sheetName val="利息资本化集团"/>
      <sheetName val="13年管理费用"/>
      <sheetName val="13年销售费用"/>
      <sheetName val="贷款明细"/>
      <sheetName val="付款计划（新）"/>
      <sheetName val="目录"/>
      <sheetName val="月报综述"/>
      <sheetName val="1、会计利润"/>
      <sheetName val="2、会计利润 (土地评估增值)"/>
      <sheetName val="3、会计毛利"/>
      <sheetName val="4、会计毛利 (土地评估增值)"/>
      <sheetName val="5、管理利润"/>
      <sheetName val="6、管理毛利"/>
      <sheetName val="7、现金流"/>
      <sheetName val="8、节奏成本"/>
      <sheetName val="9、销售计划"/>
      <sheetName val="10、待转化-利润贡献"/>
      <sheetName val="11、待转化-14年利润锁定"/>
      <sheetName val="12、付款计划"/>
      <sheetName val="13、2014销售费用"/>
      <sheetName val="14、2014管理费用"/>
      <sheetName val="15、贷款明细"/>
      <sheetName val="16、税款"/>
      <sheetName val="17、其他收支表"/>
      <sheetName val="18、土地评估增值及商誉"/>
      <sheetName val="19、科目明细表"/>
      <sheetName val="20、关键节点"/>
      <sheetName val="21、2014年收入测算"/>
      <sheetName val="22、开发间接费用"/>
      <sheetName val="23、利息资本化"/>
      <sheetName val="24、利息资本化基础数据"/>
      <sheetName val="25、土增(不限额）"/>
      <sheetName val="26、土增（限额）"/>
      <sheetName val="重大节点(旧）"/>
      <sheetName val="待转化-13年利润锁定"/>
      <sheetName val="收入测算(13)"/>
      <sheetName val="13年管理费用（新）"/>
      <sheetName val="13年管理费用（旧）"/>
      <sheetName val="2014销售费用（旧）"/>
      <sheetName val="13年销售费用（新）"/>
      <sheetName val="13年销售费用（旧）"/>
      <sheetName val="2014年销售费用旧表"/>
      <sheetName val="2014年销售费用旧"/>
      <sheetName val="工程款总明细表"/>
      <sheetName val="重大节点（新）"/>
      <sheetName val="现金流（旧）"/>
      <sheetName val="节奏成本（旧）"/>
      <sheetName val="待转化-利润贡献（旧表）"/>
      <sheetName val="待转化-利润贡献(13)"/>
      <sheetName val="价格变化的品种"/>
      <sheetName val="2000CCTV"/>
      <sheetName val="2000PA"/>
      <sheetName val="2000DCN"/>
      <sheetName val="2000INTERCOM"/>
      <sheetName val="99CCTV SUP"/>
      <sheetName val="99PA"/>
      <sheetName val="99Paging"/>
      <sheetName val="99Inter"/>
      <sheetName val="99DCN"/>
      <sheetName val="管理利润"/>
      <sheetName val="管理毛利"/>
      <sheetName val="开发间接费用"/>
      <sheetName val="laroux"/>
      <sheetName val="评估结果汇总表"/>
      <sheetName val="评估分类汇总表"/>
      <sheetName val="流动资产汇总表"/>
      <sheetName val="4货币现金"/>
      <sheetName val="5银行存款"/>
      <sheetName val="11应收帐款"/>
      <sheetName val="14预付帐"/>
      <sheetName val="16其他应收"/>
      <sheetName val="存货汇总"/>
      <sheetName val="23产成品 "/>
      <sheetName val="长期投资汇总表"/>
      <sheetName val="其他投资"/>
      <sheetName val="固定资产汇总表"/>
      <sheetName val="38房屋建筑"/>
      <sheetName val="41机器设备"/>
      <sheetName val="42车辆"/>
      <sheetName val="流动负债汇总表"/>
      <sheetName val="58应付帐"/>
      <sheetName val="61其他应付"/>
      <sheetName val="62应付工资"/>
      <sheetName val="63应付福利费"/>
      <sheetName val="64应交税金"/>
      <sheetName val="应付利润"/>
      <sheetName val="其他应交款"/>
      <sheetName val="长期负债汇总表"/>
      <sheetName val="在建"/>
      <sheetName val="      "/>
      <sheetName val="评估结果分类汇总表"/>
      <sheetName val="流动资产--货币"/>
      <sheetName val="流动资产--货币 (2)"/>
      <sheetName val="流动资产--货币 (3)"/>
      <sheetName val="短投汇总表"/>
      <sheetName val="短投"/>
      <sheetName val="短投 (2)"/>
      <sheetName val="流动资产--票据"/>
      <sheetName val="流动资产--应收"/>
      <sheetName val="流动资产--利润"/>
      <sheetName val="流动资产--利息"/>
      <sheetName val="流动资产--预付"/>
      <sheetName val="流动资产--补贴"/>
      <sheetName val="流动资产--其他应收"/>
      <sheetName val="流动资产--存货"/>
      <sheetName val="流动资产-原材料"/>
      <sheetName val="流动资产-材料采购"/>
      <sheetName val="流动资产-在库低值"/>
      <sheetName val="流动资产-产成品"/>
      <sheetName val="流动资产-在用低值"/>
      <sheetName val="流动资产--待摊"/>
      <sheetName val="流动资产--待处理"/>
      <sheetName val="一年到期长期债券"/>
      <sheetName val="其他流动资产"/>
      <sheetName val="长期投资--股票"/>
      <sheetName val="长期投资--债券"/>
      <sheetName val="长期投资--其他投资"/>
      <sheetName val="房屋建筑物"/>
      <sheetName val="构筑物"/>
      <sheetName val="码头"/>
      <sheetName val="机器设备"/>
      <sheetName val="车辆"/>
      <sheetName val="电子设备"/>
      <sheetName val="船舶设备"/>
      <sheetName val="通导设备"/>
      <sheetName val="集装箱设备"/>
      <sheetName val="固定-土地"/>
      <sheetName val="工程物资"/>
      <sheetName val="土建工程"/>
      <sheetName val="设备安装"/>
      <sheetName val="固定资产清理"/>
      <sheetName val="待处理固定资产"/>
      <sheetName val="土地使用权"/>
      <sheetName val="其他无形资产"/>
      <sheetName val="开办费"/>
      <sheetName val="长期待摊费用"/>
      <sheetName val="其他长期资产"/>
      <sheetName val="递延税款"/>
      <sheetName val="短期借款"/>
      <sheetName val="应付票据"/>
      <sheetName val="应付帐款"/>
      <sheetName val="预收帐款"/>
      <sheetName val="代销商品款"/>
      <sheetName val="其他应付款"/>
      <sheetName val="应付工资"/>
      <sheetName val="应付福利费"/>
      <sheetName val="应交税金"/>
      <sheetName val="预提费用"/>
      <sheetName val="一年内到期长期负债"/>
      <sheetName val="其他流动负债"/>
      <sheetName val="长期借款"/>
      <sheetName val="应付债券"/>
      <sheetName val="长期应付款"/>
      <sheetName val="住房周转金"/>
      <sheetName val="其他长期负债"/>
      <sheetName val="递延税款贷款"/>
      <sheetName val="00000000"/>
      <sheetName val="10000000"/>
      <sheetName val="1货币资金"/>
      <sheetName val="成本费用调整表"/>
      <sheetName val="8月人数调整"/>
      <sheetName val="IP卡收入分解"/>
      <sheetName val="服务收入加其他业利润"/>
      <sheetName val="平均资产总额"/>
      <sheetName val="分公司EBITDA率"/>
      <sheetName val="收支差额"/>
      <sheetName val="上年收入"/>
      <sheetName val="本年长数互收"/>
      <sheetName val="收支系数数据"/>
      <sheetName val="收支系数"/>
      <sheetName val="资产报酬率"/>
      <sheetName val="劳动生产率"/>
      <sheetName val="百元工资产出率"/>
      <sheetName val="收入增长贡献率"/>
      <sheetName val="收支差额贡献率"/>
      <sheetName val="全年"/>
      <sheetName val="比较"/>
      <sheetName val="1-11月"/>
      <sheetName val="5运输设备"/>
      <sheetName val="封面"/>
      <sheetName val="表1 货币资金"/>
      <sheetName val="表1-1 银行存款明细表"/>
      <sheetName val="表2 短期投资"/>
      <sheetName val="表3 应收帐款"/>
      <sheetName val="表4 应收票据"/>
      <sheetName val="表5 存货"/>
      <sheetName val="表5-1 存货跌价损失准备计算表"/>
      <sheetName val="表5-2 存货倒推表"/>
      <sheetName val="表6 预付帐款"/>
      <sheetName val="表6-1 其他应收款"/>
      <sheetName val="表6-2 待摊费用"/>
      <sheetName val="表6-3 预付及其他流动资产 "/>
      <sheetName val="表7 固定资产变动表"/>
      <sheetName val="表7-1 固定资产折旧表（上市） "/>
      <sheetName val="表7-1-1 固定资产折旧表  (非上市)"/>
      <sheetName val="表7-2 待处理财产损溢"/>
      <sheetName val="表7-3 固定资产有关资料"/>
      <sheetName val="表8-1 移动"/>
      <sheetName val="表8-2-1 数据"/>
      <sheetName val="表8-2-2 互联网"/>
      <sheetName val="表8-3 长途"/>
      <sheetName val="表8-4 寻呼"/>
      <sheetName val="表8-5 市话"/>
      <sheetName val="表8-6 在建工程明细表"/>
      <sheetName val="表8-7 工程合同汇总表(移动) NEW"/>
      <sheetName val="表8-7 工程合同汇总表(移动) (2)"/>
      <sheetName val="表8-8 在建工程有关资料"/>
      <sheetName val="表9 长期待摊费用"/>
      <sheetName val="表9-1 租赁合同汇总表"/>
      <sheetName val="表10 无形资产变动表"/>
      <sheetName val="表11 长期投资"/>
      <sheetName val="表11-1 长期股票投资"/>
      <sheetName val="表11-2 长期股权投资－未合并子公司"/>
      <sheetName val="表11-3 长期股权投资 － 合营公司"/>
      <sheetName val="表11-4 长期股权投资－联营公司"/>
      <sheetName val="表11-5 长期股权投资－参股公司"/>
      <sheetName val="表11-6 长期债权投资"/>
      <sheetName val="表11-7 其他债权投资"/>
      <sheetName val="表12 关联公司交易"/>
      <sheetName val="表12-1 与总部对帐"/>
      <sheetName val="表8-7 工程合同汇总表(移动) (5)"/>
      <sheetName val="公  "/>
      <sheetName val="共同"/>
      <sheetName val="共同 (2)"/>
      <sheetName val="BSC  BTS"/>
      <sheetName val="西门子 "/>
      <sheetName val="Sheet1 (2)"/>
      <sheetName val="光端机"/>
      <sheetName val="二次分配    "/>
      <sheetName val="二次分配     (2)"/>
      <sheetName val="二次分配     (3)"/>
      <sheetName val="二次分配     (4)"/>
      <sheetName val="表8-7 工程合同汇总表(移动) (3)"/>
      <sheetName val="表8-7 工程合同汇总表 (上市) (2)"/>
      <sheetName val="ADJ-Example"/>
      <sheetName val="WB"/>
      <sheetName val="Adj.No"/>
      <sheetName val="FS-W"/>
      <sheetName val="FS-N"/>
      <sheetName val="FS-O"/>
      <sheetName val="PL"/>
      <sheetName val="NA"/>
      <sheetName val="S00"/>
      <sheetName val="S01"/>
      <sheetName val="S02"/>
      <sheetName val="S03"/>
      <sheetName val="S03_3"/>
      <sheetName val="S04_3"/>
      <sheetName val="b00w"/>
      <sheetName val="b00n"/>
      <sheetName val="p00w"/>
      <sheetName val="p00n"/>
      <sheetName val="h00w"/>
      <sheetName val="h00n"/>
      <sheetName val="b01w"/>
      <sheetName val="b01n"/>
      <sheetName val="p01w"/>
      <sheetName val="p01n"/>
      <sheetName val="h01w"/>
      <sheetName val="h01n"/>
      <sheetName val="b02w"/>
      <sheetName val="b02n"/>
      <sheetName val="p02w"/>
      <sheetName val="p02n"/>
      <sheetName val="h02w"/>
      <sheetName val="h02n"/>
      <sheetName val="b03w"/>
      <sheetName val="b03n"/>
      <sheetName val="p03w"/>
      <sheetName val="p03n"/>
      <sheetName val="h03w"/>
      <sheetName val="h03n"/>
      <sheetName val="b03_3w"/>
      <sheetName val="b03_3n"/>
      <sheetName val="p03_3w"/>
      <sheetName val="p03_3n"/>
      <sheetName val="h03_3w"/>
      <sheetName val="h03_3n"/>
      <sheetName val="b04_3w"/>
      <sheetName val="b04_3n"/>
      <sheetName val="p04_3w"/>
      <sheetName val="p04_3n"/>
      <sheetName val="h04_3w"/>
      <sheetName val="h04_3n"/>
      <sheetName val="1固定资产汇总表"/>
      <sheetName val="4通用设备"/>
      <sheetName val="6线路设备"/>
      <sheetName val="7电信机械设备"/>
      <sheetName val="8电源设备 "/>
      <sheetName val="9固定_土地"/>
      <sheetName val="10工程物资"/>
      <sheetName val="12设备安装 (暂估入账余额)"/>
      <sheetName val="13设备安装（其他）"/>
      <sheetName val="14固定资产清理"/>
      <sheetName val="15待处理固定资产"/>
      <sheetName val="#REF!"/>
      <sheetName val="改加胶玻璃、室外栏杆"/>
      <sheetName val="按新系统"/>
      <sheetName val="组价"/>
      <sheetName val="塔楼（系统1）"/>
      <sheetName val="1-2层（系统5）"/>
      <sheetName val="附楼外侧立面 (系统2、系统5）"/>
      <sheetName val="系统6（中庭及凹阳台、天桥）"/>
      <sheetName val="入口处及下沉花园"/>
      <sheetName val="核心筒、观光电梯、空调室外机"/>
      <sheetName val="附楼内侧立面铝板及玻璃（系统3 ）"/>
      <sheetName val="裙楼内侧6-11层玻璃铝板（系统4）"/>
      <sheetName val="室外吊顶"/>
      <sheetName val="含量"/>
      <sheetName val="p1"/>
      <sheetName val="p2"/>
      <sheetName val="4301.2004ch"/>
      <sheetName val="5201.2004"/>
      <sheetName val="城花营销费用"/>
      <sheetName val="预算执行情况 (2)"/>
      <sheetName val="大表2004"/>
      <sheetName val="预算执行情况"/>
      <sheetName val="城花费用明细新"/>
      <sheetName val="城花营销费用预算"/>
      <sheetName val="大表"/>
      <sheetName val="11-12"/>
      <sheetName val="4301"/>
      <sheetName val="Parameters"/>
      <sheetName val="Note 1 - Recon Profit"/>
      <sheetName val="Cash Flow Statement"/>
      <sheetName val="组团面积"/>
      <sheetName val="套数"/>
      <sheetName val="总指标"/>
      <sheetName val="2004年"/>
      <sheetName val="2006年"/>
      <sheetName val="2005年"/>
      <sheetName val="资本化利息分配表"/>
      <sheetName val="Aging Datasheet"/>
      <sheetName val="基础资料（B）"/>
      <sheetName val="面积指标"/>
      <sheetName val="单方成本测算(帐面)"/>
      <sheetName val="成本结转表(IFRS)"/>
      <sheetName val="Non-Statistical Sampling Master"/>
      <sheetName val="Two Step Revenue Testing Master"/>
      <sheetName val="Global Data"/>
      <sheetName val="全"/>
      <sheetName val="DDETABLE "/>
      <sheetName val="2.1设计部"/>
      <sheetName val="eva"/>
      <sheetName val="8"/>
      <sheetName val="2"/>
      <sheetName val="6"/>
      <sheetName val="面积合计（藏）"/>
      <sheetName val="7"/>
      <sheetName val="3"/>
      <sheetName val="4"/>
      <sheetName val="投标材料清单 "/>
      <sheetName val="5"/>
      <sheetName val="1"/>
      <sheetName val="华房01"/>
      <sheetName val="健翔01"/>
      <sheetName val="京通01"/>
      <sheetName val="报表项目基本情况表"/>
      <sheetName val="天泰布线"/>
      <sheetName val="企业表一"/>
      <sheetName val="M-5C"/>
      <sheetName val="M-5A"/>
      <sheetName val="委托贷款投资"/>
      <sheetName val="成本测算"/>
      <sheetName val="编号规则说明"/>
      <sheetName val="2期土地"/>
      <sheetName val="2期前期"/>
      <sheetName val="2期建安"/>
      <sheetName val="商管开办费"/>
      <sheetName val="2期市配"/>
      <sheetName val="2期其它"/>
      <sheetName val="公配（不含学校幼儿园）"/>
      <sheetName val="2期商管开办费"/>
      <sheetName val="公配（学校幼儿园部分）"/>
      <sheetName val="管理费用"/>
      <sheetName val="付款明细"/>
      <sheetName val="损益汇总表"/>
      <sheetName val="项目损益表—汇总"/>
      <sheetName val="现金流汇总表"/>
      <sheetName val="项目损益表—24#地"/>
      <sheetName val="项目损益表—一期"/>
      <sheetName val="项目损益表—二期"/>
      <sheetName val="项目损益表—11#地"/>
      <sheetName val="项目损益表—三期"/>
      <sheetName val="新市镇费用"/>
      <sheetName val="项目费用分析表-24#地"/>
      <sheetName val="项目费用分析表—翡翠城"/>
      <sheetName val="现金流量分析表—一期"/>
      <sheetName val="现金流量分析表—二期+11#"/>
      <sheetName val="现金流量分析表—二期 "/>
      <sheetName val="现金流量分析表—11#地"/>
      <sheetName val="现金流量分析表—24#地"/>
      <sheetName val="现金流量分析表—三期"/>
      <sheetName val="成本预算表—24#地"/>
      <sheetName val="成本预算表—一期"/>
      <sheetName val="成本预算表—二期"/>
      <sheetName val="成本预算表—11#地"/>
      <sheetName val="竣工可入住面积表"/>
      <sheetName val="项目总体统计-预算均价"/>
      <sheetName val="04年中方"/>
      <sheetName val="资产负债表"/>
      <sheetName val="资金情况表"/>
      <sheetName val="员工人数表"/>
      <sheetName val="资本性支出预算表"/>
      <sheetName val="项目资金占用情况预算表"/>
      <sheetName val="关联交易表"/>
      <sheetName val="损益汇总涖"/>
      <sheetName val="填表指引"/>
      <sheetName val="建造目标成本审批表"/>
      <sheetName val="直接目标成本审批表"/>
      <sheetName val="开发节奏表"/>
      <sheetName val="节奏成本表"/>
      <sheetName val="新付款计划"/>
      <sheetName val="综合指标表(一）"/>
      <sheetName val="配置标准"/>
      <sheetName val="成本明细表（七期）"/>
      <sheetName val="分期规划指标"/>
      <sheetName val="非建安成本（七期）"/>
      <sheetName val="建安五期（90墅）"/>
      <sheetName val="建安七期（联排）"/>
      <sheetName val="建安七期（独栋）"/>
      <sheetName val="建安七期（类独栋）"/>
      <sheetName val="建安七期（高层平层）"/>
      <sheetName val="建安七期（商业）"/>
      <sheetName val="建安一期（别墅商业加转换层） "/>
      <sheetName val="建安一期（公寓）"/>
      <sheetName val="建安七期（别墅车库）"/>
      <sheetName val="建安七期（高层车库）"/>
      <sheetName val="建安（地基与基础工程）"/>
      <sheetName val="公共部位精装"/>
      <sheetName val="会所及样板房装修"/>
      <sheetName val="电梯"/>
      <sheetName val="智能化"/>
      <sheetName val="设计费明细"/>
      <sheetName val="室外排水管网"/>
      <sheetName val="二期"/>
      <sheetName val="三期"/>
      <sheetName val="四期"/>
      <sheetName val="8F洋房"/>
      <sheetName val="Setting"/>
      <sheetName val="RecoveredExternalLink16"/>
      <sheetName val="融资财务费用1"/>
      <sheetName val="销售费用11、12"/>
      <sheetName val="销售费用13年"/>
      <sheetName val="管理费用2013年"/>
      <sheetName val="利息资本化基础数据"/>
      <sheetName val="土地评估增值及商誉"/>
      <sheetName val="土增（查帐）"/>
      <sheetName val="土增（不含车库)"/>
      <sheetName val="土增（不限额）"/>
      <sheetName val="土增（集团要求）"/>
      <sheetName val="损益表(一般)-1"/>
      <sheetName val="营业额分析表-2"/>
      <sheetName val="毛利率分析表-4"/>
      <sheetName val="经营利润分析表-5"/>
      <sheetName val="经营利润表-明细-5-1-CRLD610000"/>
      <sheetName val="经营利润表-明细-5-1-CRLD210000"/>
      <sheetName val="经营利润表-明细-5-1-CRLD220000"/>
      <sheetName val="经营利润表-明细-5-1-CRLD230000"/>
      <sheetName val="经营利润表-明细-5-1-CRLD240000物业管理"/>
      <sheetName val="经营利润表-明细-5-1-CRLD250000租务"/>
      <sheetName val="经营利润表-明细-5-1-CRLD260000其他收入"/>
      <sheetName val="经营利润表-明细-5-1-CRLD270000会所"/>
      <sheetName val="经营利润表-明细-5-1-CRLD620000"/>
      <sheetName val="经营利润表-明细-物业销售-上海"/>
      <sheetName val="经营利润表-明细-物业管理-上海"/>
      <sheetName val="经营利润表-明细-租金收入-上海"/>
      <sheetName val="经营利润表-明细-5-1-CRLD630000"/>
      <sheetName val="经营利润表-明细-物业销售-成都"/>
      <sheetName val="经营利润表-明细-物业管理-成都"/>
      <sheetName val="经营利润表-明细-租金收入-成都"/>
      <sheetName val="经营利润表-明细-5-1-CRLD640000"/>
      <sheetName val="营业额分析-物业销售-北京"/>
      <sheetName val="营业额分析-物业销售-上海"/>
      <sheetName val="营业额分析-物业销售-成都"/>
      <sheetName val="营业额分析表-物业出租-北京"/>
      <sheetName val="营业额分析表-物业出租-上海"/>
      <sheetName val="营业额分析表-物业出租-成都"/>
      <sheetName val="营业额分析表-会所收入-北京"/>
      <sheetName val="营业额分析表-物业管理收入-北京"/>
      <sheetName val="营业额分析表-物业管理收入-上海"/>
      <sheetName val="营业额分析表-物业管理收入-成都"/>
      <sheetName val="一般及行政费用分析表-11"/>
      <sheetName val="一般及行政费用-明细-11-1"/>
      <sheetName val="销售及分销费用分析表-14"/>
      <sheetName val="销售及分销费用-明细-14-1"/>
      <sheetName val="其它经营费用分析表-15"/>
      <sheetName val="成本及费用-汇总"/>
      <sheetName val="成本及费用-北京"/>
      <sheetName val="成本及费用-转让土地-北京"/>
      <sheetName val="成本及费用-出售物业发展权-北京"/>
      <sheetName val="成本及费用-物业销售-北京"/>
      <sheetName val="成本及费用-物业管理-北京"/>
      <sheetName val="成本及费用-租金收入-北京"/>
      <sheetName val="成本及费用-其他收入-北京"/>
      <sheetName val="成本及费用-会所收入-北京"/>
      <sheetName val="成本及费用-上海"/>
      <sheetName val="成本及费用-物业销售-上海"/>
      <sheetName val="成本及费用-物业管理-上海"/>
      <sheetName val="成本及费用-租金收入-上海"/>
      <sheetName val="成本及费用-成都"/>
      <sheetName val="成本及费用-物业销售-成都"/>
      <sheetName val="成本及费用-物业管理-成都"/>
      <sheetName val="成本及费用-租金收入-成都"/>
      <sheetName val="成本及费用-香港本部"/>
      <sheetName val="其它经营收入分析表-20"/>
      <sheetName val="其他收入分析表-北京"/>
      <sheetName val="其他收入分析表-转让土地-北京"/>
      <sheetName val="其他收入分析表-出售物业发展权-北京"/>
      <sheetName val="其他收入分析表-物业销售-北京"/>
      <sheetName val="其他收入分析表-物业管理-北京"/>
      <sheetName val="其他收入分析表-租金收入-北京"/>
      <sheetName val="其他收入分析表-其他收入-北京"/>
      <sheetName val="其他收入分析表-会所收入-北京"/>
      <sheetName val="其他收入分析表-上海"/>
      <sheetName val="其他收入分析表-物业销售-上海"/>
      <sheetName val="其他收入分析表-物业管理-上海"/>
      <sheetName val="其他收入分析表-租金收入-上海"/>
      <sheetName val="其他收入分析表-成都"/>
      <sheetName val="其他收入分析表-物业销售-成都"/>
      <sheetName val="其他收入分析表-物业管理-成都"/>
      <sheetName val="其他收入分析表-租金收入-成都"/>
      <sheetName val="其他收入分析表-租金收入-香港本部"/>
      <sheetName val="其它非经营性收入及支出分析表-23"/>
      <sheetName val="财务收支分析表-24"/>
      <sheetName val="土地储备表"/>
      <sheetName val="资产负债表-26"/>
      <sheetName val="资金情怳表-27"/>
      <sheetName val="应收帐款周转天数表-按利润中心-29"/>
      <sheetName val="资本性支出表-35"/>
      <sheetName val="现金流量表-45"/>
      <sheetName val="现金流量表-直接法-汇总"/>
      <sheetName val="现金流量表-直接法-北京公司"/>
      <sheetName val="现金流量表-直接法-上海公司"/>
      <sheetName val="现金流量表-直接法-成都公司"/>
      <sheetName val="现金流量表-直接法-香港本部"/>
      <sheetName val="按揭应收款分析表"/>
      <sheetName val="项目资金占用情况表"/>
      <sheetName val="税项表"/>
      <sheetName val="员工人数"/>
      <sheetName val="三年综述表-115"/>
      <sheetName val="Validation"/>
      <sheetName val="040506利息分摊"/>
      <sheetName val="07利息分摊"/>
      <sheetName val="经营利润表-明细-5-1-CRLD240000"/>
      <sheetName val="经营利润表-明细-5-1-CRLD260000"/>
      <sheetName val="经营利润表-明细-5-1-CRLD250000"/>
      <sheetName val="经营利润表-明细-5-1-CRLD270000"/>
      <sheetName val="应收帐款表-按利润中心-30"/>
      <sheetName val="资本承担及或有负债-43"/>
      <sheetName val="财务比率分析表-63"/>
      <sheetName val="财务比率分析表-63-1"/>
      <sheetName val="T2损益表(北京)-1-1"/>
      <sheetName val="T2损益表(上诲)-1-2"/>
      <sheetName val="T2损益表(成都)-1-3"/>
      <sheetName val="T2损益表(香港)-1-4"/>
      <sheetName val="T2本月物业销售分析表"/>
      <sheetName val="T2本年累计物业销售分析表"/>
      <sheetName val="T2出租物业分析表"/>
      <sheetName val="T2会所收入分析表"/>
      <sheetName val="T2物业管理分析表"/>
      <sheetName val="T2销售公司收入分析表"/>
      <sheetName val="T2总成本分析表"/>
      <sheetName val="T2成本分析-香港公司"/>
      <sheetName val="T2成本分析-北京物业销售汇总"/>
      <sheetName val="T2成本分析-北京总部"/>
      <sheetName val="T2成本分析-北京项目"/>
      <sheetName val="T2成本分析-上诲项目"/>
      <sheetName val="T2成本分析-成都项目"/>
      <sheetName val="T2成本分析-出租物业"/>
      <sheetName val="T2成本分析-物业管理"/>
      <sheetName val="T2成本分析-会所"/>
      <sheetName val="T2成本分析-其他收入"/>
      <sheetName val="T2项目成本分析表"/>
      <sheetName val="T2项目资金占庄分析表"/>
      <sheetName val="T2按揭应收帐分析表"/>
      <sheetName val="T2银行贷款分析表"/>
      <sheetName val="T2房屋明细及土地储备表"/>
      <sheetName val="T2库存表"/>
      <sheetName val="T2现金流量表-直接法-汇总"/>
      <sheetName val="T2现金流量表-直接法-北京公司"/>
      <sheetName val="T2现金流量表-直接法-上诲公司"/>
      <sheetName val="T2现金流量表-直接法-成都公司"/>
      <sheetName val="T2现金流量表-直接法-香港本部"/>
      <sheetName val="经营计划审批表"/>
      <sheetName val="会计利润（土地评估增值）"/>
      <sheetName val="会计毛利（土地评估增值"/>
      <sheetName val="土地评估增值"/>
      <sheetName val="现金流1"/>
      <sheetName val="关键节点"/>
      <sheetName val="其他收支表"/>
      <sheetName val="贷款明细表"/>
      <sheetName val="利息资本化基础表"/>
      <sheetName val="资本化利息 "/>
      <sheetName val="土地增值税测算"/>
      <sheetName val="管理毛利 "/>
      <sheetName val="2014管理费用"/>
      <sheetName val="2013管理费用"/>
      <sheetName val="2013销售费用"/>
      <sheetName val="2013年销售费用"/>
      <sheetName val="2014销售费用"/>
      <sheetName val="利息资本化不含土地出让金"/>
      <sheetName val="2013年销售费用预算表"/>
      <sheetName val="费用预测"/>
      <sheetName val="其他收支"/>
      <sheetName val="指标汇总"/>
      <sheetName val="开发间接费表"/>
      <sheetName val="科目明细表"/>
      <sheetName val="2014年销售费用"/>
      <sheetName val="成本明细表（四期）"/>
      <sheetName val="非建安成本（四期）"/>
      <sheetName val="建安四期（叠拼）"/>
      <sheetName val="建安四期（联排）"/>
      <sheetName val="建安四期（高层平层）"/>
      <sheetName val="建安四期（高层商业加转换层）"/>
      <sheetName val="商业地块集中商业（共3层）"/>
      <sheetName val="建安四期（地上电影院）"/>
      <sheetName val="建安四期（地上农贸市场）"/>
      <sheetName val="建安四期（地下计容超市）"/>
      <sheetName val="建安四期（别墅商业加转换层） "/>
      <sheetName val="建安四期（公寓办公）"/>
      <sheetName val="建安四期（别墅车库）"/>
      <sheetName val="建安四期（高层车库）"/>
      <sheetName val="时间设置"/>
      <sheetName val="TEMP"/>
      <sheetName val="成本0601"/>
      <sheetName val="ECCS_1 DataSheet"/>
      <sheetName val="KPI Datasheet"/>
      <sheetName val="SAPBEXqueries"/>
      <sheetName val="SAPBEXfilters"/>
      <sheetName val="TOC"/>
      <sheetName val="损益表(物业出租)-1-1"/>
      <sheetName val="损益表-明细-5-2"/>
      <sheetName val="经营利润表-明细-5-1"/>
      <sheetName val="OPBITDA分析表-6"/>
      <sheetName val="OPBITDA-明细-6-1"/>
      <sheetName val="税前利润分析表-7"/>
      <sheetName val="股东应占溢利分析表-8"/>
      <sheetName val="非经营性收入及支出分析表-23"/>
      <sheetName val="资金情况表-27"/>
      <sheetName val="银行借款余额表-27-1"/>
      <sheetName val="应付帐款表-按利润中心-32"/>
      <sheetName val="库存周转天数表-按利润中心-33-1"/>
      <sheetName val="库存表-按利润中心-34-1"/>
      <sheetName val="重要指标表-47"/>
      <sheetName val="员工人数表-113"/>
      <sheetName val="ECCS"/>
      <sheetName val="Aging"/>
      <sheetName val="KPI"/>
      <sheetName val="DataSheetIndex"/>
      <sheetName val="测算说明"/>
      <sheetName val="配置标准 (2)"/>
      <sheetName val="售价简表"/>
      <sheetName val="楼面地价敏感性分析"/>
      <sheetName val="指标核对表"/>
      <sheetName val="指标变化对比表（分地块）"/>
      <sheetName val="指标变化对比表（总表）"/>
      <sheetName val="成本变化对比表"/>
      <sheetName val="成本明细表（一期）"/>
      <sheetName val="非建安成本（一期）"/>
      <sheetName val="建安（洋房）"/>
      <sheetName val="建安（类独栋)"/>
      <sheetName val="建安一期（联排）"/>
      <sheetName val="建安一期（T2T4）"/>
      <sheetName val="建安一期（T6）"/>
      <sheetName val="建安一期（高层商业）"/>
      <sheetName val="建安一期（街区商业）"/>
      <sheetName val="建安一期（公寓3.0）"/>
      <sheetName val="建安一期（别墅车库）"/>
      <sheetName val="建安一期（高层车库）"/>
      <sheetName val="建安一期（地下商业）"/>
      <sheetName val="车库指标统计"/>
      <sheetName val="异地建设"/>
      <sheetName val="基坑支护"/>
      <sheetName val="基础"/>
      <sheetName val="福地广场基础结算书"/>
      <sheetName val="框图"/>
      <sheetName val="报价一"/>
      <sheetName val="框图2"/>
      <sheetName val="方案3"/>
      <sheetName val="10月回"/>
      <sheetName val="软景价格分类"/>
      <sheetName val="硬景价格分类"/>
      <sheetName val="项目损益表"/>
      <sheetName val="项目费用分析表"/>
      <sheetName val="项目现金流量分析表"/>
      <sheetName val="一期成本预算表"/>
      <sheetName val="二期成本预算表"/>
      <sheetName val="三期成本预算表"/>
      <sheetName val="四期成本预算表"/>
      <sheetName val="五期成本预算表"/>
      <sheetName val="其他项目成本预算表"/>
      <sheetName val="物业服务收入"/>
      <sheetName val="A翼写字楼"/>
      <sheetName val="选择报表"/>
      <sheetName val="5清波"/>
      <sheetName val="电视监控"/>
      <sheetName val="POWER ASSUMPTION"/>
      <sheetName val="钢筋计算表"/>
      <sheetName val="前(栖居)"/>
      <sheetName val="建(栖居)"/>
      <sheetName val="基(栖居)"/>
      <sheetName val="11年计划"/>
      <sheetName val="字段"/>
      <sheetName val="指标分类汇总"/>
      <sheetName val="零星工程量"/>
      <sheetName val="合同"/>
      <sheetName val="综合认价"/>
      <sheetName val="07水"/>
      <sheetName val="合同明细"/>
      <sheetName val="楼层"/>
      <sheetName val="POWER_ASSUMPTIONS"/>
      <sheetName val="G_1R-Shou_COP_Gf"/>
      <sheetName val="Financ__Overview"/>
      <sheetName val="POWER_ASSUMPTION"/>
      <sheetName val="POWER_ASSUMPTIONS1"/>
      <sheetName val="G_1R-Shou_COP_Gf1"/>
      <sheetName val="Financ__Overview1"/>
      <sheetName val="POWER_ASSUMPTION1"/>
      <sheetName val="单位库"/>
      <sheetName val="一标段 "/>
      <sheetName val="资产负债表及损益表"/>
      <sheetName val="重要内部交易"/>
      <sheetName val="营业费用"/>
      <sheetName val="制造费用"/>
      <sheetName val="会计事项调整表"/>
      <sheetName val="GP analysis Per month"/>
      <sheetName val="Sales breakdown "/>
      <sheetName val="MA Adj. Test"/>
      <sheetName val="华泰"/>
      <sheetName val="华意"/>
      <sheetName val="General"/>
      <sheetName val="规划指标"/>
      <sheetName val="折线图2数据"/>
      <sheetName val="销售回款预测"/>
      <sheetName val="税金预测"/>
      <sheetName val="行政办公费预算汇总表"/>
      <sheetName val="行政办公费预算(部门分解）"/>
      <sheetName val="楼梯间"/>
      <sheetName val="设计部"/>
      <sheetName val="明细分类账"/>
      <sheetName val="BALANCE SHEET"/>
      <sheetName val="Tailored procedures"/>
      <sheetName val="装饰汇总"/>
      <sheetName val="单价"/>
      <sheetName val="材料汇总"/>
      <sheetName val="用量分摊(藏）"/>
      <sheetName val="价目表"/>
      <sheetName val="wl"/>
      <sheetName val="报价单"/>
      <sheetName val="日期编号（A）"/>
      <sheetName val="住宅面积明细（B-1)"/>
      <sheetName val="非住宅面积明细（B-2)"/>
      <sheetName val="分期开发安排（B-3）"/>
      <sheetName val="成本测算（C)"/>
      <sheetName val="项目计划（D)"/>
      <sheetName val="付款计划（E)"/>
      <sheetName val="销售（F）"/>
      <sheetName val="回款（-1)"/>
      <sheetName val="租金（G)"/>
      <sheetName val="税金及留存资产"/>
      <sheetName val="现金流量（H)"/>
      <sheetName val="资金来源与运用(I)"/>
      <sheetName val="Sheet10"/>
      <sheetName val="写字楼B"/>
      <sheetName val="敏感参数"/>
      <sheetName val="CFS"/>
      <sheetName val="FSM"/>
      <sheetName val="_x005f_x005f_x005f_x0000__x005f_x005f_x005f_x0000__x005"/>
      <sheetName val="利息资本化 "/>
      <sheetName val="利息支出"/>
      <sheetName val="开发间接费"/>
      <sheetName val="_x005f_x005f_x005f_x005f_x005f_x005f_x005f_x0000__x005f"/>
      <sheetName val="材料清单"/>
      <sheetName val="地面过水泥砂"/>
      <sheetName val="楼板镂空及加楼板（部分项目有争议）"/>
      <sheetName val="项目配置标准表－新"/>
      <sheetName val="费用成本表"/>
      <sheetName val="11月确定版与7月版本对比"/>
      <sheetName val="2月经营计划与现版本对比"/>
      <sheetName val="启动版与现版本对比"/>
      <sheetName val="15-2、3面积梳理"/>
      <sheetName val="2月经营计划与现版本面积指标对比"/>
      <sheetName val="启动版计划与现版本面积指标对比"/>
      <sheetName val="启动版节奏成本"/>
      <sheetName val="节奏成本 201402"/>
      <sheetName val="15-2商业建安费 A-C段1#楼商业结构、砌体抹灰"/>
      <sheetName val="联排别墅改商业地上"/>
      <sheetName val="联排别墅改商业地下"/>
      <sheetName val="15-3景观1"/>
      <sheetName val="15-2期样板区"/>
      <sheetName val="电梯清单"/>
      <sheetName val="封皮"/>
      <sheetName val="五期数据"/>
      <sheetName val="重大时间节点"/>
      <sheetName val="08年销售计划表"/>
      <sheetName val="09年销售计划表"/>
      <sheetName val="销售分解表"/>
      <sheetName val="08年已实现（财务）"/>
      <sheetName val="售价涨幅表"/>
      <sheetName val="截至7月底款齐未接房"/>
      <sheetName val="Sheet6"/>
      <sheetName val="09年销售计划表（有存量）"/>
      <sheetName val="预售及价格"/>
      <sheetName val="差错表"/>
      <sheetName val="08年已实现"/>
      <sheetName val="09年销售计划"/>
      <sheetName val="10年销售计划"/>
      <sheetName val="别墅价格计算"/>
      <sheetName val="销售周期表（财务用）"/>
      <sheetName val="销售计划（月报）"/>
      <sheetName val="销售周期表新"/>
      <sheetName val="10年分月回款"/>
      <sheetName val="售价涨幅表新"/>
      <sheetName val="Sheet7"/>
      <sheetName val="10年简表"/>
      <sheetName val="10年销售计划表（有存量）"/>
      <sheetName val="销售分表（周姐）"/>
      <sheetName val="成本分表"/>
      <sheetName val="09年分月回款"/>
      <sheetName val="08结转资源"/>
      <sheetName val="09简表"/>
      <sheetName val="09年经营指标汇总"/>
      <sheetName val="附表一"/>
      <sheetName val="附表二"/>
      <sheetName val="1期土地"/>
      <sheetName val="1期前期"/>
      <sheetName val="1期建安"/>
      <sheetName val="物业.商管开办费"/>
      <sheetName val="1期市配"/>
      <sheetName val="1期其它"/>
      <sheetName val="5.1-销售数量及金额 湖南总"/>
      <sheetName val="3-產品别损益月份别"/>
      <sheetName val="4-部門别损益匯總-月份别"/>
      <sheetName val="5.1-销售数量及金额 湖南"/>
      <sheetName val="5.1-销售数量及金额 江西"/>
      <sheetName val="5.4全公司"/>
      <sheetName val="5.3-销售数量及金额db"/>
      <sheetName val="5.2-销售数量及金额"/>
      <sheetName val="6-銷售成本"/>
      <sheetName val="7-銷售毛利"/>
      <sheetName val="P2-4-產品别损益报告"/>
      <sheetName val="P2-5-部門别损益报告"/>
      <sheetName val="P3-銷售數量及金額報告"/>
      <sheetName val="P3-銷售數量及金額報告 (2)"/>
      <sheetName val="5.3-销售数量及金额"/>
      <sheetName val="每日C300"/>
      <sheetName val="附件"/>
      <sheetName val="附件 (2)"/>
      <sheetName val="3_12"/>
      <sheetName val="3_12 (2)"/>
      <sheetName val="监控配置 (2)"/>
      <sheetName val="3_29"/>
      <sheetName val="422"/>
      <sheetName val="配置比较"/>
      <sheetName val="报价比较"/>
      <sheetName val="增减"/>
      <sheetName val="报价比较 (2)"/>
      <sheetName val="监控图"/>
      <sheetName val="报警配置"/>
      <sheetName val="报警配置 (2)"/>
      <sheetName val="报警图"/>
      <sheetName val="报警图426"/>
      <sheetName val="联网图426"/>
      <sheetName val="监控516"/>
      <sheetName val="附件516"/>
      <sheetName val="年度、月度情况"/>
      <sheetName val="调整（争取版本）"/>
      <sheetName val="销售明细账"/>
      <sheetName val="2、会计利润（土地评估增值）"/>
      <sheetName val="4、会计毛利（土地评估增值）"/>
      <sheetName val="20、关键节点表"/>
      <sheetName val="21、2014收入测算"/>
      <sheetName val="22、开发间接费"/>
      <sheetName val="B4零星"/>
      <sheetName val="_x005f_x005f_x005f_x0000__x005f"/>
      <sheetName val="基础项目"/>
      <sheetName val="RecoveredExternalLink11"/>
      <sheetName val="利息资本化重测"/>
      <sheetName val="000000"/>
      <sheetName val="100000"/>
      <sheetName val="Sheet1 "/>
      <sheetName val="Sheet2 "/>
      <sheetName val="现金流新"/>
      <sheetName val="车库成本明细表"/>
      <sheetName val="花园洋房"/>
      <sheetName val="联排建安分析表"/>
      <sheetName val="车库建安费"/>
      <sheetName val="对比"/>
      <sheetName val="工程付款汇总表"/>
      <sheetName val="开发间接费分摊"/>
      <sheetName val="关于资本化利息的基础数据"/>
      <sheetName val="兼容性报表"/>
      <sheetName val="Sheet23"/>
      <sheetName val="Sheet24"/>
      <sheetName val="Index-"/>
      <sheetName val="待转化-14年利润锁定"/>
      <sheetName val="2014年收入测算"/>
      <sheetName val="待转化-利润贡献（集团）"/>
      <sheetName val="收入测算"/>
      <sheetName val="金之谷幕墙工程（甲） (2)"/>
      <sheetName val="单价表"/>
      <sheetName val="清单1-裙楼Ea"/>
      <sheetName val="材料单价表"/>
      <sheetName val="变量单"/>
      <sheetName val="经营予、决算封皮"/>
      <sheetName val="第一部分定价"/>
      <sheetName val="材料"/>
      <sheetName val="1#量统计"/>
      <sheetName val="开发节凑"/>
      <sheetName val="与经营计划对比"/>
      <sheetName val="项目设计指标及产品配置标准表"/>
      <sheetName val="成本明细表"/>
      <sheetName val="土地及大配套"/>
      <sheetName val="土地及大配套费"/>
      <sheetName val="规划设计费"/>
      <sheetName val="建安费-小高层"/>
      <sheetName val="建安费-商业"/>
      <sheetName val="建安费-车库"/>
      <sheetName val="公共部位装修"/>
      <sheetName val="建安费-人防 "/>
      <sheetName val="增加成本及费用说明表"/>
      <sheetName val="成品房"/>
      <sheetName val="景观工程"/>
      <sheetName val="公共配套设施各期分摊明细"/>
      <sheetName val="公共部位"/>
      <sheetName val="项目成品房"/>
      <sheetName val="项目公用配套设施"/>
      <sheetName val="项目公共配套设施各期分摊明细"/>
      <sheetName val="工程量"/>
      <sheetName val="宏7"/>
      <sheetName val="宏6"/>
      <sheetName val="宏5"/>
      <sheetName val="宏4"/>
      <sheetName val="宏3"/>
      <sheetName val="宏1"/>
      <sheetName val="宏2"/>
      <sheetName val="WYYTHR"/>
      <sheetName val="CTKUWQ"/>
      <sheetName val="宏8"/>
      <sheetName val="HXAASB"/>
      <sheetName val="前期"/>
      <sheetName val="建安"/>
      <sheetName val="市配"/>
      <sheetName val="公配"/>
      <sheetName val="其他"/>
      <sheetName val="汇总2"/>
      <sheetName val="Financial highlight"/>
      <sheetName val="Dilution_analysis"/>
      <sheetName val="Price_assumptions"/>
      <sheetName val="Financial highligts"/>
      <sheetName val="Profits analysis"/>
      <sheetName val="Valuation analysis"/>
      <sheetName val="Comparables analysis"/>
      <sheetName val="Contribution projects"/>
      <sheetName val="Critical issues"/>
      <sheetName val="Yearly"/>
      <sheetName val="Global"/>
      <sheetName val="Mgt_Assumption_Summary"/>
      <sheetName val="Chinese Summary"/>
      <sheetName val="06 deli projects"/>
      <sheetName val="DTT"/>
      <sheetName val="Summary"/>
      <sheetName val="Discount rate control"/>
      <sheetName val="Control"/>
      <sheetName val="GFA"/>
      <sheetName val="output"/>
      <sheetName val="Consolidate"/>
      <sheetName val="Holdco"/>
      <sheetName val="Bank Debt"/>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99"/>
      <sheetName val="P100"/>
      <sheetName val="P101"/>
      <sheetName val="P102"/>
      <sheetName val="P103"/>
      <sheetName val="P104"/>
      <sheetName val="P105"/>
      <sheetName val="P106"/>
      <sheetName val="P107"/>
      <sheetName val="P108"/>
      <sheetName val="P109"/>
      <sheetName val="P110"/>
      <sheetName val="P111"/>
      <sheetName val="P112"/>
      <sheetName val="P113"/>
      <sheetName val="P114"/>
      <sheetName val="P115"/>
      <sheetName val="P116"/>
      <sheetName val="P117"/>
      <sheetName val="P118"/>
      <sheetName val="P119"/>
      <sheetName val="P120"/>
      <sheetName val="P121"/>
      <sheetName val="P122"/>
      <sheetName val="P123"/>
      <sheetName val="P124"/>
      <sheetName val="P125"/>
      <sheetName val="P126"/>
      <sheetName val="P200"/>
      <sheetName val="各期情况"/>
      <sheetName val="现金流（月报）"/>
      <sheetName val="持有物业"/>
      <sheetName val="销售费用2013"/>
      <sheetName val="销售费用12"/>
      <sheetName val="2013年管理费用"/>
      <sheetName val="土增测算"/>
      <sheetName val="土地使用费"/>
      <sheetName val="资本化基础表"/>
      <sheetName val="累计付款情况"/>
      <sheetName val="13年财务费用"/>
      <sheetName val="预计资产负债"/>
      <sheetName val="公司NAV"/>
      <sheetName val="关键往来明细1"/>
      <sheetName val="关键往来明细"/>
      <sheetName val="10年经营计划审批表"/>
      <sheetName val="华宅3.5"/>
      <sheetName val="华宅3.2"/>
      <sheetName val="建测（公寓）3.2"/>
      <sheetName val="建测（公寓）5.1"/>
      <sheetName val="YINC85"/>
      <sheetName val="RecoveredExternalLink29"/>
      <sheetName val="会计毛利（土地评估增值）"/>
      <sheetName val="销售费用1"/>
      <sheetName val="管理费用1"/>
      <sheetName val="区域往来"/>
      <sheetName val="海尔地产利息"/>
      <sheetName val="测算收入安排"/>
      <sheetName val="RecoveredExternalLink12"/>
      <sheetName val="流程图"/>
      <sheetName val="零研普查封面"/>
      <sheetName val="零研普查"/>
      <sheetName val="新零研普查"/>
      <sheetName val="普查城市详细编码"/>
      <sheetName val="调查表"/>
      <sheetName val="普查注意事项"/>
      <sheetName val="类型区分表"/>
      <sheetName val="康产品"/>
      <sheetName val="商店类型"/>
      <sheetName val="日用品明细表"/>
      <sheetName val="普查记录表"/>
      <sheetName val="劳务费发放明细表"/>
      <sheetName val="样本分布示例牡丹江"/>
      <sheetName val="选取调查样本封面 "/>
      <sheetName val="选取调查样本"/>
      <sheetName val="样本"/>
      <sheetName val="访员培训封面"/>
      <sheetName val="访员培训"/>
      <sheetName val="一览表"/>
      <sheetName val="媒体"/>
      <sheetName val="批发市场"/>
      <sheetName val="基础问卷市场调查表"/>
      <sheetName val="问卷示例"/>
      <sheetName val="A基础问卷"/>
      <sheetName val="A基础问卷示例"/>
      <sheetName val="学生资料卡"/>
      <sheetName val="品项口味一览表"/>
      <sheetName val="访员调查封面"/>
      <sheetName val="访员调查"/>
      <sheetName val="检核问卷封面 "/>
      <sheetName val="检核问卷及奖惩"/>
      <sheetName val="劳务费总计"/>
      <sheetName val="劳务费发放表 "/>
      <sheetName val="市调费用邮寄明细"/>
      <sheetName val="统计问卷封面 "/>
      <sheetName val="统计问卷"/>
      <sheetName val="零售价表"/>
      <sheetName val="销量表"/>
      <sheetName val="批号表"/>
      <sheetName val="B类销量统计表"/>
      <sheetName val="A类店统计表"/>
      <sheetName val="直营统计表"/>
      <sheetName val="直营统计表 (2)"/>
      <sheetName val="形成月报封面"/>
      <sheetName val="月报说明"/>
      <sheetName val="东北总铺"/>
      <sheetName val="东北总占"/>
      <sheetName val="月报封面"/>
      <sheetName val="铺货率"/>
      <sheetName val="分口味"/>
      <sheetName val="主品项铺货度"/>
      <sheetName val="哈分区"/>
      <sheetName val="占有总表"/>
      <sheetName val="分价占有"/>
      <sheetName val="零售价格"/>
      <sheetName val="利润"/>
      <sheetName val="零售批号"/>
      <sheetName val="批号预警表"/>
      <sheetName val="A级店口味铺货"/>
      <sheetName val="A级主要店"/>
      <sheetName val="市场信息（1）"/>
      <sheetName val="市场信息 (2)"/>
      <sheetName val="广促信息"/>
      <sheetName val="提供月报封面 "/>
      <sheetName val="形成月报封面 (3)"/>
      <sheetName val="RecoveredExternalLink13"/>
      <sheetName val="材料单价"/>
      <sheetName val="A"/>
      <sheetName val="合项含量"/>
      <sheetName val="材料价格表(立面）"/>
      <sheetName val="21"/>
      <sheetName val="Detail"/>
      <sheetName val="2009"/>
      <sheetName val="2010"/>
      <sheetName val="New Report"/>
      <sheetName val="Financial statements"/>
      <sheetName val="Hotel input"/>
      <sheetName val="Cash to JV"/>
      <sheetName val="Ratio output"/>
      <sheetName val="Roadshow presentation"/>
      <sheetName val="Invest CF"/>
      <sheetName val="Credit credential"/>
      <sheetName val="Forecast panel (2009)"/>
      <sheetName val="Forecast panel (2010)"/>
      <sheetName val="Forecast panel (2011)"/>
      <sheetName val="Forecast panel (2012)"/>
      <sheetName val="Forecast panel (2013)"/>
      <sheetName val="P61"/>
      <sheetName val="P62"/>
      <sheetName val="P63"/>
      <sheetName val="P64"/>
      <sheetName val="P65"/>
      <sheetName val="P66"/>
      <sheetName val="P67"/>
      <sheetName val="P68"/>
      <sheetName val="P69"/>
      <sheetName val="P70"/>
      <sheetName val="P71"/>
      <sheetName val="P72"/>
      <sheetName val="P73"/>
      <sheetName val="P74"/>
      <sheetName val="P75"/>
      <sheetName val="P76"/>
      <sheetName val="P77"/>
      <sheetName val="P78"/>
      <sheetName val="P79"/>
      <sheetName val="P80"/>
      <sheetName val="P81"/>
      <sheetName val="P82"/>
      <sheetName val="P83"/>
      <sheetName val="P84"/>
      <sheetName val="P85"/>
      <sheetName val="P86"/>
      <sheetName val="P87"/>
      <sheetName val="P88"/>
      <sheetName val="P89"/>
      <sheetName val="P90"/>
      <sheetName val="P91"/>
      <sheetName val="P92"/>
      <sheetName val="P93"/>
      <sheetName val="P94"/>
      <sheetName val="P95"/>
      <sheetName val="P96"/>
      <sheetName val="P97"/>
      <sheetName val="P98"/>
      <sheetName val="P127"/>
      <sheetName val="P128"/>
      <sheetName val="P129"/>
      <sheetName val="P130"/>
      <sheetName val="P131"/>
      <sheetName val="P132"/>
      <sheetName val="P133"/>
      <sheetName val="P134"/>
      <sheetName val="P135"/>
      <sheetName val="P136"/>
      <sheetName val="P137"/>
      <sheetName val="P138"/>
      <sheetName val="P139"/>
      <sheetName val="P140"/>
      <sheetName val="P141"/>
      <sheetName val="P142"/>
      <sheetName val="P143"/>
      <sheetName val="P144"/>
      <sheetName val="P145"/>
      <sheetName val="P146"/>
      <sheetName val="P147"/>
      <sheetName val="P148"/>
      <sheetName val="P149"/>
      <sheetName val="P150"/>
      <sheetName val="P151"/>
      <sheetName val="P152"/>
      <sheetName val="P153"/>
      <sheetName val="P154"/>
      <sheetName val="P155"/>
      <sheetName val="P156"/>
      <sheetName val="P157"/>
      <sheetName val="P158"/>
      <sheetName val="P159"/>
      <sheetName val="P160"/>
      <sheetName val="P161"/>
      <sheetName val="P162"/>
      <sheetName val="P163"/>
      <sheetName val="P164"/>
      <sheetName val="P165"/>
      <sheetName val="P166"/>
      <sheetName val="P167"/>
      <sheetName val="P168"/>
      <sheetName val="P169"/>
      <sheetName val="P170"/>
      <sheetName val="P171"/>
      <sheetName val="P172"/>
      <sheetName val="P173"/>
      <sheetName val="P174"/>
      <sheetName val="P175"/>
      <sheetName val="P176"/>
      <sheetName val="P177"/>
      <sheetName val="P178"/>
      <sheetName val="P179"/>
      <sheetName val="P180"/>
      <sheetName val="P2009"/>
      <sheetName val="P2010"/>
      <sheetName val="P2011"/>
      <sheetName val="P2012"/>
      <sheetName val="P2013"/>
      <sheetName val="P199"/>
      <sheetName val="P201"/>
      <sheetName val="P202"/>
      <sheetName val="P203"/>
      <sheetName val="P204"/>
      <sheetName val="P205"/>
      <sheetName val="P206"/>
      <sheetName val="P207"/>
      <sheetName val="P208"/>
      <sheetName val="P209"/>
      <sheetName val="P210"/>
      <sheetName val="P211"/>
      <sheetName val="P212"/>
      <sheetName val="P213"/>
      <sheetName val="P214"/>
      <sheetName val="P215"/>
      <sheetName val="P216"/>
      <sheetName val="P217"/>
      <sheetName val="P218"/>
      <sheetName val="P219"/>
      <sheetName val="P220"/>
      <sheetName val="P221"/>
      <sheetName val="P222"/>
      <sheetName val="P223"/>
      <sheetName val="P224"/>
      <sheetName val="P225"/>
      <sheetName val="P226"/>
      <sheetName val="P227"/>
      <sheetName val="P228"/>
      <sheetName val="P229"/>
      <sheetName val="P230"/>
      <sheetName val="P231"/>
      <sheetName val="P232"/>
      <sheetName val="P233"/>
      <sheetName val="P234"/>
      <sheetName val="P235"/>
      <sheetName val="P236"/>
      <sheetName val="P237"/>
      <sheetName val="P238"/>
      <sheetName val="P239"/>
      <sheetName val="P240"/>
      <sheetName val="P241"/>
      <sheetName val="P242"/>
      <sheetName val="P243"/>
      <sheetName val="P244"/>
      <sheetName val="P245"/>
      <sheetName val="P246"/>
      <sheetName val="P247"/>
      <sheetName val="P248"/>
      <sheetName val="P249"/>
      <sheetName val="P250"/>
      <sheetName val="P251"/>
      <sheetName val="P252"/>
      <sheetName val="P253"/>
      <sheetName val="P254"/>
      <sheetName val="P255"/>
      <sheetName val="P256"/>
      <sheetName val="P257"/>
      <sheetName val="P258"/>
      <sheetName val="P259"/>
      <sheetName val="P260"/>
      <sheetName val="P261"/>
      <sheetName val="P262"/>
      <sheetName val="P263"/>
      <sheetName val="P264"/>
      <sheetName val="P265"/>
      <sheetName val="P266"/>
      <sheetName val="P267"/>
      <sheetName val="P268"/>
      <sheetName val="P269"/>
      <sheetName val="P270"/>
      <sheetName val="P271"/>
      <sheetName val="P272"/>
      <sheetName val="P273"/>
      <sheetName val="P274"/>
      <sheetName val="P275"/>
      <sheetName val="P276"/>
      <sheetName val="P277"/>
      <sheetName val="P278"/>
      <sheetName val="P279"/>
      <sheetName val="P280"/>
      <sheetName val="P281"/>
      <sheetName val="P282"/>
      <sheetName val="P283"/>
      <sheetName val="P284"/>
      <sheetName val="P285"/>
      <sheetName val="P286"/>
      <sheetName val="P287"/>
      <sheetName val="P288"/>
      <sheetName val="P289"/>
      <sheetName val="P290"/>
      <sheetName val="P291"/>
      <sheetName val="P292"/>
      <sheetName val="P293"/>
      <sheetName val="P294"/>
      <sheetName val="P295"/>
      <sheetName val="P296"/>
      <sheetName val="P297"/>
      <sheetName val="P298"/>
      <sheetName val="P299"/>
      <sheetName val="P300"/>
      <sheetName val="P400"/>
      <sheetName val="G2TempSheet"/>
      <sheetName val="MSL1"/>
      <sheetName val="MSL2"/>
      <sheetName val="MSL3"/>
      <sheetName val="MSL4"/>
      <sheetName val="MSL5"/>
      <sheetName val="MSL6"/>
      <sheetName val="MSL7"/>
      <sheetName val="MSL8"/>
      <sheetName val="MSL9"/>
      <sheetName val="MSL10"/>
      <sheetName val="MSL11"/>
      <sheetName val="现金流量表DEC-JUN00"/>
      <sheetName val="2006内部公司往来利息及调整（per entity）"/>
      <sheetName val="经营利润表-明细-5-1-CRLD650000"/>
      <sheetName val="经营利润表-明细-5-1-CRLD660000"/>
      <sheetName val="经营利润表-明细-5-1-CRLD670000"/>
      <sheetName val="资本性支出表-明细-35-1"/>
      <sheetName val="关联交易"/>
      <sheetName val="现金流量表(直接法)-50"/>
      <sheetName val="FS"/>
      <sheetName val="Cash Flow"/>
      <sheetName val="DataSheetIndex_1"/>
      <sheetName val="Cell Copy"/>
      <sheetName val="成本结转表(帐面)"/>
      <sheetName val="单方成本测算(帐面)截至10.31"/>
      <sheetName val="滟澜山明细账9-10月"/>
      <sheetName val="单方成本测算(IFRS)"/>
      <sheetName val="会计利润 (土地评估增值)"/>
      <sheetName val="会计毛利 (土地评估增值)"/>
      <sheetName val="1销售计划"/>
      <sheetName val="2付款计划"/>
      <sheetName val="3节奏成本"/>
      <sheetName val="所得税计算"/>
      <sheetName val="利息资本化基础数据表"/>
      <sheetName val="利息资本化计算表"/>
      <sheetName val="科目对照表"/>
      <sheetName val="涨幅分析 (万元)"/>
      <sheetName val="人均分析 (万元)"/>
      <sheetName val="15年区域汇总表 (万元)"/>
      <sheetName val="涨幅分析"/>
      <sheetName val="人均分析"/>
      <sheetName val="薪酬涨幅"/>
      <sheetName val="15年区域汇总表"/>
      <sheetName val="S"/>
      <sheetName val="ZX"/>
      <sheetName val=" YJ"/>
      <sheetName val="AY"/>
      <sheetName val="LJZ"/>
      <sheetName val="SF"/>
      <sheetName val="QY"/>
      <sheetName val="LJ"/>
      <sheetName val="YT"/>
      <sheetName val="KXL"/>
      <sheetName val="SJ"/>
      <sheetName val="XY"/>
      <sheetName val="SD"/>
      <sheetName val="特钢"/>
      <sheetName val="电商"/>
      <sheetName val="成都"/>
      <sheetName val="E"/>
      <sheetName val="附表7-通讯交通食堂"/>
      <sheetName val="附表9-机动车使用费"/>
      <sheetName val="附表分工"/>
      <sheetName val="附表1-审计费"/>
      <sheetName val="附表2-费用性税金 "/>
      <sheetName val="附表3-折旧摊销"/>
      <sheetName val="附表4-差旅费"/>
      <sheetName val="附表5-总经费"/>
      <sheetName val="附表6-固定资产"/>
      <sheetName val="附表7-通讯交通食堂 (新增人员)"/>
      <sheetName val="附表8-福利费"/>
      <sheetName val="附表8-福利费 (新增人员)"/>
      <sheetName val="人员薪酬及编制"/>
      <sheetName val="附表10-办公用品及家具"/>
      <sheetName val="附表10-办公用品及家具 (新增人员)"/>
      <sheetName val="附表11-办公场所费"/>
      <sheetName val="附表11-会议费"/>
      <sheetName val="附表12-报刊费"/>
      <sheetName val="附表13-软件费"/>
      <sheetName val="附表14-人力资源相关费用"/>
      <sheetName val="附表15-法律事务预算"/>
      <sheetName val="附表16-网络通讯费"/>
      <sheetName val="附表17-固定电话费"/>
      <sheetName val="附件18-修理费"/>
      <sheetName val="附件19-部门杂费"/>
      <sheetName val="附件20-印刷费"/>
      <sheetName val="附表21—员工活动经费"/>
      <sheetName val="墙面工程"/>
      <sheetName val="建测（公寓）45"/>
      <sheetName val="管渚"/>
      <sheetName val="RecoveredExternalLink31"/>
      <sheetName val="成本"/>
      <sheetName val="措施费明细"/>
      <sheetName val="8-METAL+ok "/>
      <sheetName val="单价分析表"/>
      <sheetName val="MATERIALS"/>
      <sheetName val="计算表"/>
      <sheetName val="B1示范区景观工程标底改后4.2"/>
      <sheetName val="基本信息"/>
      <sheetName val="部门汇总"/>
      <sheetName val="层级汇总"/>
      <sheetName val="学历汇总"/>
      <sheetName val="性别汇总"/>
      <sheetName val="年龄汇总"/>
      <sheetName val="人员异动汇总"/>
      <sheetName val="范围表"/>
      <sheetName val="现金流 "/>
      <sheetName val="完全成本表"/>
      <sheetName val="土地评估增值摊销"/>
      <sheetName val="成本明细表（三期）"/>
      <sheetName val="非建安成本（三期）"/>
      <sheetName val="建安三期（叠拼）"/>
      <sheetName val="建安三期（联排）"/>
      <sheetName val="建安三期（高层平层）"/>
      <sheetName val="建安三期（高层商业加转换层）"/>
      <sheetName val="建安三期（公寓办公）"/>
      <sheetName val="建安三期（别墅商业加转换层） "/>
      <sheetName val="建安三期（别墅车库）"/>
      <sheetName val="建安三期（高层车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1 招标封面"/>
      <sheetName val="表2 编制说明"/>
      <sheetName val="表3 汇总表"/>
      <sheetName val="表4.1 综合单价清单"/>
      <sheetName val="表4.2 综合单价清单 "/>
      <sheetName val="表4.3 综合费率报价表"/>
    </sheetNames>
    <sheetDataSet>
      <sheetData sheetId="0">
        <row r="3">
          <cell r="A3" t="str">
            <v>融创西南区域集团2019-2020年造价咨询区采招标【仅限重庆、四川、广西、云南、贵州】</v>
          </cell>
        </row>
      </sheetData>
      <sheetData sheetId="1"/>
      <sheetData sheetId="2" refreshError="1"/>
      <sheetData sheetId="3"/>
      <sheetData sheetId="4" refreshError="1"/>
      <sheetData sheetId="5"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outlinePr summaryBelow="0" summaryRight="0"/>
    <pageSetUpPr fitToPage="1"/>
  </sheetPr>
  <dimension ref="A1:P50"/>
  <sheetViews>
    <sheetView zoomScaleNormal="100" zoomScaleSheetLayoutView="100" workbookViewId="0">
      <pane ySplit="11" topLeftCell="A12" activePane="bottomLeft" state="frozen"/>
      <selection pane="bottomLeft" activeCell="D27" sqref="D27"/>
    </sheetView>
  </sheetViews>
  <sheetFormatPr defaultColWidth="9" defaultRowHeight="13.5" outlineLevelRow="1" outlineLevelCol="1" x14ac:dyDescent="0.15"/>
  <cols>
    <col min="1" max="1" width="4.75" style="219" customWidth="1"/>
    <col min="2" max="2" width="23.625" style="157" customWidth="1"/>
    <col min="3" max="3" width="30.125" style="157" customWidth="1" outlineLevel="1"/>
    <col min="4" max="4" width="29.125" style="157" customWidth="1" outlineLevel="1"/>
    <col min="5" max="5" width="5.25" style="157" customWidth="1"/>
    <col min="6" max="6" width="13.125" style="158" customWidth="1"/>
    <col min="7" max="8" width="12.25" style="158" customWidth="1"/>
    <col min="9" max="10" width="17.5" style="158" customWidth="1"/>
    <col min="11" max="11" width="12.375" style="158" customWidth="1"/>
    <col min="12" max="12" width="16.625" style="158" customWidth="1"/>
    <col min="13" max="13" width="12.25" style="158" customWidth="1"/>
    <col min="14" max="14" width="5.625" style="158" customWidth="1"/>
    <col min="15" max="15" width="4" style="158" customWidth="1"/>
    <col min="16" max="16" width="22.5" style="159" customWidth="1"/>
    <col min="17" max="16384" width="9" style="157"/>
  </cols>
  <sheetData>
    <row r="1" spans="1:16" s="78" customFormat="1" ht="20.25" x14ac:dyDescent="0.15">
      <c r="A1" s="224" t="str">
        <f>'[3]表1 招标封面'!A3</f>
        <v>融创西南区域集团2019-2020年造价咨询区采招标【仅限重庆、四川、广西、云南、贵州】</v>
      </c>
      <c r="B1" s="224"/>
      <c r="C1" s="224"/>
      <c r="D1" s="224"/>
      <c r="E1" s="224"/>
      <c r="F1" s="224"/>
      <c r="G1" s="224"/>
      <c r="H1" s="224"/>
      <c r="I1" s="224"/>
      <c r="J1" s="224"/>
      <c r="K1" s="224"/>
      <c r="L1" s="224"/>
      <c r="M1" s="224"/>
      <c r="N1" s="224"/>
      <c r="O1" s="224"/>
      <c r="P1" s="77"/>
    </row>
    <row r="2" spans="1:16" s="78" customFormat="1" ht="20.25" customHeight="1" x14ac:dyDescent="0.15">
      <c r="A2" s="224" t="s">
        <v>93</v>
      </c>
      <c r="B2" s="224"/>
      <c r="C2" s="224"/>
      <c r="D2" s="224"/>
      <c r="E2" s="224"/>
      <c r="F2" s="224"/>
      <c r="G2" s="224"/>
      <c r="H2" s="224"/>
      <c r="I2" s="224"/>
      <c r="J2" s="224"/>
      <c r="K2" s="224"/>
      <c r="L2" s="224"/>
      <c r="M2" s="224"/>
      <c r="N2" s="224"/>
      <c r="O2" s="224"/>
      <c r="P2" s="77"/>
    </row>
    <row r="3" spans="1:16" s="78" customFormat="1" ht="20.25" x14ac:dyDescent="0.15">
      <c r="A3" s="210"/>
      <c r="B3" s="79"/>
      <c r="C3" s="79"/>
      <c r="D3" s="79"/>
      <c r="E3" s="79"/>
      <c r="F3" s="79"/>
      <c r="G3" s="79"/>
      <c r="H3" s="79"/>
      <c r="I3" s="79"/>
      <c r="J3" s="79"/>
      <c r="K3" s="79"/>
      <c r="L3" s="79"/>
      <c r="M3" s="79"/>
      <c r="N3" s="79"/>
      <c r="O3" s="79"/>
      <c r="P3" s="77"/>
    </row>
    <row r="4" spans="1:16" s="82" customFormat="1" ht="12" x14ac:dyDescent="0.15">
      <c r="A4" s="225" t="s">
        <v>33</v>
      </c>
      <c r="B4" s="226" t="s">
        <v>34</v>
      </c>
      <c r="C4" s="227" t="s">
        <v>94</v>
      </c>
      <c r="D4" s="227" t="s">
        <v>95</v>
      </c>
      <c r="E4" s="226" t="s">
        <v>96</v>
      </c>
      <c r="F4" s="228" t="s">
        <v>97</v>
      </c>
      <c r="G4" s="80" t="s">
        <v>98</v>
      </c>
      <c r="H4" s="80" t="s">
        <v>99</v>
      </c>
      <c r="I4" s="228" t="s">
        <v>38</v>
      </c>
      <c r="J4" s="228" t="s">
        <v>39</v>
      </c>
      <c r="K4" s="228" t="s">
        <v>100</v>
      </c>
      <c r="L4" s="228"/>
      <c r="M4" s="228"/>
      <c r="N4" s="229" t="s">
        <v>101</v>
      </c>
      <c r="O4" s="228" t="s">
        <v>36</v>
      </c>
      <c r="P4" s="81"/>
    </row>
    <row r="5" spans="1:16" s="82" customFormat="1" ht="12" customHeight="1" x14ac:dyDescent="0.15">
      <c r="A5" s="225"/>
      <c r="B5" s="226"/>
      <c r="C5" s="227"/>
      <c r="D5" s="227"/>
      <c r="E5" s="226"/>
      <c r="F5" s="228"/>
      <c r="G5" s="228" t="s">
        <v>42</v>
      </c>
      <c r="H5" s="229" t="s">
        <v>43</v>
      </c>
      <c r="I5" s="228"/>
      <c r="J5" s="228"/>
      <c r="K5" s="80" t="s">
        <v>102</v>
      </c>
      <c r="L5" s="234" t="s">
        <v>103</v>
      </c>
      <c r="M5" s="234" t="s">
        <v>104</v>
      </c>
      <c r="N5" s="230"/>
      <c r="O5" s="228"/>
      <c r="P5" s="81"/>
    </row>
    <row r="6" spans="1:16" s="82" customFormat="1" ht="12" x14ac:dyDescent="0.15">
      <c r="A6" s="225"/>
      <c r="B6" s="226"/>
      <c r="C6" s="227"/>
      <c r="D6" s="227"/>
      <c r="E6" s="226"/>
      <c r="F6" s="228"/>
      <c r="G6" s="228"/>
      <c r="H6" s="230"/>
      <c r="I6" s="228" t="s">
        <v>42</v>
      </c>
      <c r="J6" s="228" t="s">
        <v>43</v>
      </c>
      <c r="K6" s="229" t="s">
        <v>105</v>
      </c>
      <c r="L6" s="235"/>
      <c r="M6" s="235"/>
      <c r="N6" s="230"/>
      <c r="O6" s="228"/>
      <c r="P6" s="81"/>
    </row>
    <row r="7" spans="1:16" s="82" customFormat="1" ht="12" x14ac:dyDescent="0.15">
      <c r="A7" s="225"/>
      <c r="B7" s="226"/>
      <c r="C7" s="227"/>
      <c r="D7" s="227"/>
      <c r="E7" s="226"/>
      <c r="F7" s="228"/>
      <c r="G7" s="228"/>
      <c r="H7" s="230"/>
      <c r="I7" s="228"/>
      <c r="J7" s="228"/>
      <c r="K7" s="230"/>
      <c r="L7" s="236"/>
      <c r="M7" s="236"/>
      <c r="N7" s="230"/>
      <c r="O7" s="228"/>
      <c r="P7" s="83"/>
    </row>
    <row r="8" spans="1:16" s="82" customFormat="1" ht="12" x14ac:dyDescent="0.15">
      <c r="A8" s="225"/>
      <c r="B8" s="226"/>
      <c r="C8" s="227"/>
      <c r="D8" s="227"/>
      <c r="E8" s="226"/>
      <c r="F8" s="228"/>
      <c r="G8" s="228"/>
      <c r="H8" s="231"/>
      <c r="I8" s="228"/>
      <c r="J8" s="228"/>
      <c r="K8" s="231"/>
      <c r="L8" s="84">
        <v>0.14000000000000001</v>
      </c>
      <c r="M8" s="85">
        <v>0.06</v>
      </c>
      <c r="N8" s="230"/>
      <c r="O8" s="228"/>
      <c r="P8" s="83"/>
    </row>
    <row r="9" spans="1:16" s="89" customFormat="1" ht="12" x14ac:dyDescent="0.15">
      <c r="A9" s="225"/>
      <c r="B9" s="226"/>
      <c r="C9" s="227"/>
      <c r="D9" s="227"/>
      <c r="E9" s="226"/>
      <c r="F9" s="86" t="s">
        <v>106</v>
      </c>
      <c r="G9" s="86" t="s">
        <v>107</v>
      </c>
      <c r="H9" s="86" t="s">
        <v>108</v>
      </c>
      <c r="I9" s="86" t="s">
        <v>109</v>
      </c>
      <c r="J9" s="86" t="s">
        <v>110</v>
      </c>
      <c r="K9" s="87" t="s">
        <v>111</v>
      </c>
      <c r="L9" s="87" t="s">
        <v>112</v>
      </c>
      <c r="M9" s="87" t="s">
        <v>113</v>
      </c>
      <c r="N9" s="231"/>
      <c r="O9" s="228"/>
      <c r="P9" s="88"/>
    </row>
    <row r="10" spans="1:16" s="82" customFormat="1" ht="13.5" customHeight="1" x14ac:dyDescent="0.15">
      <c r="A10" s="211"/>
      <c r="B10" s="90"/>
      <c r="C10" s="90"/>
      <c r="D10" s="90"/>
      <c r="E10" s="90"/>
      <c r="F10" s="91"/>
      <c r="G10" s="91"/>
      <c r="H10" s="91"/>
      <c r="I10" s="91"/>
      <c r="J10" s="91"/>
      <c r="K10" s="91"/>
      <c r="L10" s="91"/>
      <c r="M10" s="91"/>
      <c r="N10" s="91"/>
      <c r="O10" s="29"/>
      <c r="P10" s="30"/>
    </row>
    <row r="11" spans="1:16" s="97" customFormat="1" ht="24.95" customHeight="1" x14ac:dyDescent="0.15">
      <c r="A11" s="212" t="s">
        <v>44</v>
      </c>
      <c r="B11" s="93" t="s">
        <v>114</v>
      </c>
      <c r="C11" s="93"/>
      <c r="D11" s="93"/>
      <c r="E11" s="92"/>
      <c r="F11" s="94"/>
      <c r="G11" s="94"/>
      <c r="H11" s="94"/>
      <c r="I11" s="94">
        <f>SUBTOTAL(9,I12:I25)</f>
        <v>469103.43929999991</v>
      </c>
      <c r="J11" s="94">
        <f>SUBTOTAL(9,J12:J25)</f>
        <v>497249.64565799991</v>
      </c>
      <c r="K11" s="94"/>
      <c r="L11" s="94"/>
      <c r="M11" s="94"/>
      <c r="N11" s="94"/>
      <c r="O11" s="95" t="s">
        <v>8</v>
      </c>
      <c r="P11" s="96">
        <f>+J11*0.4</f>
        <v>198899.85826319997</v>
      </c>
    </row>
    <row r="12" spans="1:16" s="105" customFormat="1" ht="15.75" customHeight="1" outlineLevel="1" x14ac:dyDescent="0.15">
      <c r="A12" s="213">
        <v>1</v>
      </c>
      <c r="B12" s="99" t="s">
        <v>115</v>
      </c>
      <c r="C12" s="232" t="s">
        <v>116</v>
      </c>
      <c r="D12" s="232" t="s">
        <v>117</v>
      </c>
      <c r="E12" s="98" t="s">
        <v>118</v>
      </c>
      <c r="F12" s="100">
        <f>+工程量计算式!C23-工程量计算式!C21</f>
        <v>197402.06</v>
      </c>
      <c r="G12" s="100">
        <f t="shared" ref="G12:G24" si="0">K12+L12</f>
        <v>2.3369999999999997</v>
      </c>
      <c r="H12" s="101">
        <f t="shared" ref="H12:H24" si="1">K12+L12+M12</f>
        <v>2.4772199999999995</v>
      </c>
      <c r="I12" s="101">
        <f t="shared" ref="I12:J24" si="2">$F12*G12</f>
        <v>461328.61421999993</v>
      </c>
      <c r="J12" s="101">
        <f t="shared" si="2"/>
        <v>489008.33107319992</v>
      </c>
      <c r="K12" s="102">
        <v>2.0499999999999998</v>
      </c>
      <c r="L12" s="101">
        <f t="shared" ref="L12:L24" si="3">K12*$L$8</f>
        <v>0.28699999999999998</v>
      </c>
      <c r="M12" s="101">
        <f t="shared" ref="M12:M24" si="4">(K12+L12)*$M$8</f>
        <v>0.14021999999999998</v>
      </c>
      <c r="N12" s="101"/>
      <c r="O12" s="103"/>
      <c r="P12" s="104"/>
    </row>
    <row r="13" spans="1:16" s="105" customFormat="1" ht="15.75" customHeight="1" outlineLevel="1" x14ac:dyDescent="0.15">
      <c r="A13" s="213">
        <v>2</v>
      </c>
      <c r="B13" s="99" t="s">
        <v>119</v>
      </c>
      <c r="C13" s="233"/>
      <c r="D13" s="233"/>
      <c r="E13" s="98" t="s">
        <v>118</v>
      </c>
      <c r="F13" s="100"/>
      <c r="G13" s="100">
        <f t="shared" si="0"/>
        <v>1.1229</v>
      </c>
      <c r="H13" s="101">
        <f t="shared" si="1"/>
        <v>1.1902740000000001</v>
      </c>
      <c r="I13" s="101">
        <f t="shared" si="2"/>
        <v>0</v>
      </c>
      <c r="J13" s="101">
        <f t="shared" si="2"/>
        <v>0</v>
      </c>
      <c r="K13" s="102">
        <v>0.98499999999999999</v>
      </c>
      <c r="L13" s="101">
        <f t="shared" si="3"/>
        <v>0.13790000000000002</v>
      </c>
      <c r="M13" s="101">
        <f t="shared" si="4"/>
        <v>6.7374000000000003E-2</v>
      </c>
      <c r="N13" s="101"/>
      <c r="O13" s="103"/>
      <c r="P13" s="104"/>
    </row>
    <row r="14" spans="1:16" s="105" customFormat="1" ht="15.75" customHeight="1" outlineLevel="1" x14ac:dyDescent="0.15">
      <c r="A14" s="213">
        <v>3</v>
      </c>
      <c r="B14" s="99" t="s">
        <v>120</v>
      </c>
      <c r="C14" s="233"/>
      <c r="D14" s="233"/>
      <c r="E14" s="98" t="s">
        <v>118</v>
      </c>
      <c r="F14" s="100"/>
      <c r="G14" s="100">
        <f t="shared" si="0"/>
        <v>4.6739999999999995</v>
      </c>
      <c r="H14" s="101">
        <f t="shared" si="1"/>
        <v>4.9544399999999991</v>
      </c>
      <c r="I14" s="101">
        <f t="shared" si="2"/>
        <v>0</v>
      </c>
      <c r="J14" s="101">
        <f t="shared" si="2"/>
        <v>0</v>
      </c>
      <c r="K14" s="102">
        <v>4.0999999999999996</v>
      </c>
      <c r="L14" s="101">
        <f t="shared" si="3"/>
        <v>0.57399999999999995</v>
      </c>
      <c r="M14" s="101">
        <f t="shared" si="4"/>
        <v>0.28043999999999997</v>
      </c>
      <c r="N14" s="101"/>
      <c r="O14" s="103"/>
      <c r="P14" s="106"/>
    </row>
    <row r="15" spans="1:16" s="105" customFormat="1" ht="15.75" customHeight="1" outlineLevel="1" x14ac:dyDescent="0.15">
      <c r="A15" s="213">
        <v>4</v>
      </c>
      <c r="B15" s="99" t="s">
        <v>121</v>
      </c>
      <c r="C15" s="233"/>
      <c r="D15" s="233"/>
      <c r="E15" s="98" t="s">
        <v>118</v>
      </c>
      <c r="F15" s="100"/>
      <c r="G15" s="100">
        <f t="shared" si="0"/>
        <v>2.1545999999999998</v>
      </c>
      <c r="H15" s="101">
        <f t="shared" si="1"/>
        <v>2.2838759999999998</v>
      </c>
      <c r="I15" s="101">
        <f t="shared" si="2"/>
        <v>0</v>
      </c>
      <c r="J15" s="101">
        <f t="shared" si="2"/>
        <v>0</v>
      </c>
      <c r="K15" s="102">
        <v>1.89</v>
      </c>
      <c r="L15" s="101">
        <f t="shared" si="3"/>
        <v>0.2646</v>
      </c>
      <c r="M15" s="101">
        <f t="shared" si="4"/>
        <v>0.12927599999999997</v>
      </c>
      <c r="N15" s="101"/>
      <c r="O15" s="107"/>
      <c r="P15" s="106"/>
    </row>
    <row r="16" spans="1:16" s="105" customFormat="1" ht="15.75" customHeight="1" outlineLevel="1" x14ac:dyDescent="0.15">
      <c r="A16" s="213">
        <v>5</v>
      </c>
      <c r="B16" s="99" t="s">
        <v>122</v>
      </c>
      <c r="C16" s="233"/>
      <c r="D16" s="233"/>
      <c r="E16" s="98" t="s">
        <v>118</v>
      </c>
      <c r="F16" s="100"/>
      <c r="G16" s="100">
        <f t="shared" si="0"/>
        <v>2.8044000000000002</v>
      </c>
      <c r="H16" s="101">
        <f t="shared" si="1"/>
        <v>2.9726640000000004</v>
      </c>
      <c r="I16" s="101">
        <f t="shared" si="2"/>
        <v>0</v>
      </c>
      <c r="J16" s="101">
        <f t="shared" si="2"/>
        <v>0</v>
      </c>
      <c r="K16" s="102">
        <v>2.46</v>
      </c>
      <c r="L16" s="101">
        <f t="shared" si="3"/>
        <v>0.34440000000000004</v>
      </c>
      <c r="M16" s="101">
        <f t="shared" si="4"/>
        <v>0.168264</v>
      </c>
      <c r="N16" s="101"/>
      <c r="O16" s="107"/>
      <c r="P16" s="106"/>
    </row>
    <row r="17" spans="1:16" s="105" customFormat="1" ht="15.75" customHeight="1" outlineLevel="1" x14ac:dyDescent="0.15">
      <c r="A17" s="213">
        <v>6</v>
      </c>
      <c r="B17" s="99" t="s">
        <v>123</v>
      </c>
      <c r="C17" s="233"/>
      <c r="D17" s="233"/>
      <c r="E17" s="98" t="s">
        <v>118</v>
      </c>
      <c r="F17" s="100"/>
      <c r="G17" s="100">
        <f t="shared" si="0"/>
        <v>1.2198</v>
      </c>
      <c r="H17" s="101">
        <f t="shared" si="1"/>
        <v>1.292988</v>
      </c>
      <c r="I17" s="101">
        <f t="shared" si="2"/>
        <v>0</v>
      </c>
      <c r="J17" s="101">
        <f t="shared" si="2"/>
        <v>0</v>
      </c>
      <c r="K17" s="102">
        <v>1.07</v>
      </c>
      <c r="L17" s="101">
        <f t="shared" si="3"/>
        <v>0.14980000000000002</v>
      </c>
      <c r="M17" s="101">
        <f t="shared" si="4"/>
        <v>7.3188000000000003E-2</v>
      </c>
      <c r="N17" s="101"/>
      <c r="O17" s="103"/>
      <c r="P17" s="106"/>
    </row>
    <row r="18" spans="1:16" s="105" customFormat="1" ht="15.75" customHeight="1" outlineLevel="1" x14ac:dyDescent="0.15">
      <c r="A18" s="214">
        <v>7</v>
      </c>
      <c r="B18" s="99" t="s">
        <v>124</v>
      </c>
      <c r="C18" s="233"/>
      <c r="D18" s="233"/>
      <c r="E18" s="98" t="s">
        <v>118</v>
      </c>
      <c r="F18" s="100">
        <f>+工程量计算式!C21</f>
        <v>1663.42</v>
      </c>
      <c r="G18" s="100">
        <f t="shared" si="0"/>
        <v>4.6739999999999995</v>
      </c>
      <c r="H18" s="101">
        <f t="shared" si="1"/>
        <v>4.9544399999999991</v>
      </c>
      <c r="I18" s="101">
        <f t="shared" si="2"/>
        <v>7774.8250799999996</v>
      </c>
      <c r="J18" s="101">
        <f t="shared" si="2"/>
        <v>8241.3145847999986</v>
      </c>
      <c r="K18" s="102">
        <v>4.0999999999999996</v>
      </c>
      <c r="L18" s="101">
        <f t="shared" si="3"/>
        <v>0.57399999999999995</v>
      </c>
      <c r="M18" s="101">
        <f t="shared" si="4"/>
        <v>0.28043999999999997</v>
      </c>
      <c r="N18" s="101"/>
      <c r="O18" s="108"/>
      <c r="P18" s="106"/>
    </row>
    <row r="19" spans="1:16" s="105" customFormat="1" ht="16.5" customHeight="1" outlineLevel="1" x14ac:dyDescent="0.15">
      <c r="A19" s="214">
        <v>8</v>
      </c>
      <c r="B19" s="99" t="s">
        <v>125</v>
      </c>
      <c r="C19" s="233"/>
      <c r="D19" s="233"/>
      <c r="E19" s="98" t="s">
        <v>118</v>
      </c>
      <c r="F19" s="100"/>
      <c r="G19" s="100">
        <f t="shared" si="0"/>
        <v>2.1545999999999998</v>
      </c>
      <c r="H19" s="101">
        <f t="shared" si="1"/>
        <v>2.2838759999999998</v>
      </c>
      <c r="I19" s="101">
        <f t="shared" si="2"/>
        <v>0</v>
      </c>
      <c r="J19" s="101">
        <f t="shared" si="2"/>
        <v>0</v>
      </c>
      <c r="K19" s="102">
        <v>1.89</v>
      </c>
      <c r="L19" s="101">
        <f t="shared" si="3"/>
        <v>0.2646</v>
      </c>
      <c r="M19" s="101">
        <f t="shared" si="4"/>
        <v>0.12927599999999997</v>
      </c>
      <c r="N19" s="101"/>
      <c r="O19" s="108"/>
      <c r="P19" s="106"/>
    </row>
    <row r="20" spans="1:16" s="105" customFormat="1" ht="16.5" customHeight="1" outlineLevel="1" x14ac:dyDescent="0.15">
      <c r="A20" s="214">
        <v>9</v>
      </c>
      <c r="B20" s="109" t="s">
        <v>126</v>
      </c>
      <c r="C20" s="110" t="s">
        <v>127</v>
      </c>
      <c r="D20" s="99" t="s">
        <v>128</v>
      </c>
      <c r="E20" s="111" t="s">
        <v>129</v>
      </c>
      <c r="F20" s="100"/>
      <c r="G20" s="112">
        <f t="shared" si="0"/>
        <v>2.4510000000000001E-3</v>
      </c>
      <c r="H20" s="113">
        <f t="shared" si="1"/>
        <v>2.5980600000000001E-3</v>
      </c>
      <c r="I20" s="101">
        <f t="shared" si="2"/>
        <v>0</v>
      </c>
      <c r="J20" s="101">
        <f t="shared" si="2"/>
        <v>0</v>
      </c>
      <c r="K20" s="114">
        <v>2.15E-3</v>
      </c>
      <c r="L20" s="113">
        <f t="shared" si="3"/>
        <v>3.0100000000000005E-4</v>
      </c>
      <c r="M20" s="113">
        <f t="shared" si="4"/>
        <v>1.4705999999999999E-4</v>
      </c>
      <c r="N20" s="101"/>
      <c r="O20" s="115"/>
      <c r="P20" s="106"/>
    </row>
    <row r="21" spans="1:16" s="105" customFormat="1" ht="16.5" customHeight="1" outlineLevel="1" x14ac:dyDescent="0.15">
      <c r="A21" s="214">
        <v>10</v>
      </c>
      <c r="B21" s="99" t="s">
        <v>130</v>
      </c>
      <c r="C21" s="99" t="s">
        <v>131</v>
      </c>
      <c r="D21" s="99" t="s">
        <v>128</v>
      </c>
      <c r="E21" s="98" t="s">
        <v>129</v>
      </c>
      <c r="F21" s="100"/>
      <c r="G21" s="112">
        <f t="shared" si="0"/>
        <v>2.6220000000000002E-3</v>
      </c>
      <c r="H21" s="113">
        <f t="shared" si="1"/>
        <v>2.7793200000000001E-3</v>
      </c>
      <c r="I21" s="101">
        <f t="shared" si="2"/>
        <v>0</v>
      </c>
      <c r="J21" s="101">
        <f t="shared" si="2"/>
        <v>0</v>
      </c>
      <c r="K21" s="114">
        <v>2.3E-3</v>
      </c>
      <c r="L21" s="113">
        <f t="shared" si="3"/>
        <v>3.2200000000000002E-4</v>
      </c>
      <c r="M21" s="113">
        <f t="shared" si="4"/>
        <v>1.5732000000000002E-4</v>
      </c>
      <c r="N21" s="101"/>
      <c r="O21" s="115"/>
      <c r="P21" s="106"/>
    </row>
    <row r="22" spans="1:16" s="105" customFormat="1" ht="16.5" customHeight="1" outlineLevel="1" x14ac:dyDescent="0.15">
      <c r="A22" s="214">
        <v>11</v>
      </c>
      <c r="B22" s="99" t="s">
        <v>132</v>
      </c>
      <c r="C22" s="99" t="s">
        <v>133</v>
      </c>
      <c r="D22" s="99" t="s">
        <v>134</v>
      </c>
      <c r="E22" s="98" t="s">
        <v>129</v>
      </c>
      <c r="F22" s="100"/>
      <c r="G22" s="112">
        <f t="shared" si="0"/>
        <v>2.8500000000000001E-3</v>
      </c>
      <c r="H22" s="113">
        <f t="shared" si="1"/>
        <v>3.0210000000000002E-3</v>
      </c>
      <c r="I22" s="101">
        <f t="shared" si="2"/>
        <v>0</v>
      </c>
      <c r="J22" s="101">
        <f t="shared" si="2"/>
        <v>0</v>
      </c>
      <c r="K22" s="114">
        <v>2.5000000000000001E-3</v>
      </c>
      <c r="L22" s="113">
        <f t="shared" si="3"/>
        <v>3.5000000000000005E-4</v>
      </c>
      <c r="M22" s="113">
        <f t="shared" si="4"/>
        <v>1.7100000000000001E-4</v>
      </c>
      <c r="N22" s="101"/>
      <c r="O22" s="115"/>
      <c r="P22" s="106"/>
    </row>
    <row r="23" spans="1:16" s="105" customFormat="1" ht="16.5" customHeight="1" outlineLevel="1" x14ac:dyDescent="0.15">
      <c r="A23" s="214">
        <v>12</v>
      </c>
      <c r="B23" s="99" t="s">
        <v>135</v>
      </c>
      <c r="C23" s="99" t="s">
        <v>136</v>
      </c>
      <c r="D23" s="99" t="s">
        <v>128</v>
      </c>
      <c r="E23" s="98" t="s">
        <v>129</v>
      </c>
      <c r="F23" s="100"/>
      <c r="G23" s="112">
        <f t="shared" si="0"/>
        <v>2.6220000000000002E-3</v>
      </c>
      <c r="H23" s="113">
        <f t="shared" si="1"/>
        <v>2.7793200000000001E-3</v>
      </c>
      <c r="I23" s="101">
        <f t="shared" si="2"/>
        <v>0</v>
      </c>
      <c r="J23" s="101">
        <f t="shared" si="2"/>
        <v>0</v>
      </c>
      <c r="K23" s="114">
        <v>2.3E-3</v>
      </c>
      <c r="L23" s="113">
        <f t="shared" si="3"/>
        <v>3.2200000000000002E-4</v>
      </c>
      <c r="M23" s="113">
        <f t="shared" si="4"/>
        <v>1.5732000000000002E-4</v>
      </c>
      <c r="N23" s="101"/>
      <c r="O23" s="115"/>
      <c r="P23" s="106"/>
    </row>
    <row r="24" spans="1:16" s="105" customFormat="1" ht="16.5" customHeight="1" outlineLevel="1" x14ac:dyDescent="0.15">
      <c r="A24" s="214">
        <v>13</v>
      </c>
      <c r="B24" s="99" t="s">
        <v>137</v>
      </c>
      <c r="C24" s="99" t="s">
        <v>138</v>
      </c>
      <c r="D24" s="99" t="s">
        <v>128</v>
      </c>
      <c r="E24" s="98" t="s">
        <v>129</v>
      </c>
      <c r="F24" s="100"/>
      <c r="G24" s="112">
        <f t="shared" si="0"/>
        <v>2.2799999999999999E-3</v>
      </c>
      <c r="H24" s="113">
        <f t="shared" si="1"/>
        <v>2.4167999999999998E-3</v>
      </c>
      <c r="I24" s="101">
        <f t="shared" si="2"/>
        <v>0</v>
      </c>
      <c r="J24" s="101">
        <f t="shared" si="2"/>
        <v>0</v>
      </c>
      <c r="K24" s="114">
        <v>2E-3</v>
      </c>
      <c r="L24" s="113">
        <f t="shared" si="3"/>
        <v>2.8000000000000003E-4</v>
      </c>
      <c r="M24" s="113">
        <f t="shared" si="4"/>
        <v>1.3679999999999999E-4</v>
      </c>
      <c r="N24" s="101"/>
      <c r="O24" s="115"/>
      <c r="P24" s="106"/>
    </row>
    <row r="25" spans="1:16" s="105" customFormat="1" ht="11.25" customHeight="1" x14ac:dyDescent="0.15">
      <c r="A25" s="215"/>
      <c r="B25" s="117"/>
      <c r="C25" s="117"/>
      <c r="D25" s="117"/>
      <c r="E25" s="116"/>
      <c r="F25" s="118"/>
      <c r="G25" s="118"/>
      <c r="H25" s="101"/>
      <c r="I25" s="101"/>
      <c r="J25" s="119"/>
      <c r="K25" s="119"/>
      <c r="L25" s="119"/>
      <c r="M25" s="119"/>
      <c r="N25" s="119"/>
      <c r="O25" s="103"/>
      <c r="P25" s="106"/>
    </row>
    <row r="26" spans="1:16" s="97" customFormat="1" ht="27.75" customHeight="1" x14ac:dyDescent="0.15">
      <c r="A26" s="212" t="s">
        <v>46</v>
      </c>
      <c r="B26" s="93" t="s">
        <v>139</v>
      </c>
      <c r="C26" s="93"/>
      <c r="D26" s="93"/>
      <c r="E26" s="92"/>
      <c r="F26" s="94"/>
      <c r="G26" s="94"/>
      <c r="H26" s="94"/>
      <c r="I26" s="94">
        <f>SUBTOTAL(9,I27:I34)</f>
        <v>0</v>
      </c>
      <c r="J26" s="94">
        <f>SUBTOTAL(9,J27:J34)</f>
        <v>0</v>
      </c>
      <c r="K26" s="94"/>
      <c r="L26" s="94"/>
      <c r="M26" s="94"/>
      <c r="N26" s="94"/>
      <c r="O26" s="95"/>
      <c r="P26" s="96"/>
    </row>
    <row r="27" spans="1:16" s="105" customFormat="1" ht="156.75" customHeight="1" outlineLevel="1" x14ac:dyDescent="0.15">
      <c r="A27" s="215">
        <v>14</v>
      </c>
      <c r="B27" s="117" t="s">
        <v>140</v>
      </c>
      <c r="C27" s="117" t="s">
        <v>141</v>
      </c>
      <c r="D27" s="117" t="s">
        <v>142</v>
      </c>
      <c r="E27" s="116" t="s">
        <v>118</v>
      </c>
      <c r="F27" s="120"/>
      <c r="G27" s="120">
        <f t="shared" ref="G27:G33" si="5">K27+L27</f>
        <v>8.3219999999999992</v>
      </c>
      <c r="H27" s="101">
        <f t="shared" ref="H27:H33" si="6">K27+L27+M27</f>
        <v>8.8213199999999983</v>
      </c>
      <c r="I27" s="101">
        <f t="shared" ref="I27:J33" si="7">$F27*G27</f>
        <v>0</v>
      </c>
      <c r="J27" s="101">
        <f t="shared" si="7"/>
        <v>0</v>
      </c>
      <c r="K27" s="121">
        <v>7.3</v>
      </c>
      <c r="L27" s="101">
        <f t="shared" ref="L27:L33" si="8">K27*$L$8</f>
        <v>1.022</v>
      </c>
      <c r="M27" s="101">
        <f t="shared" ref="M27:M33" si="9">(K27+L27)*$M$8</f>
        <v>0.49931999999999993</v>
      </c>
      <c r="N27" s="101"/>
      <c r="O27" s="107"/>
      <c r="P27" s="106"/>
    </row>
    <row r="28" spans="1:16" s="105" customFormat="1" ht="148.5" customHeight="1" outlineLevel="1" x14ac:dyDescent="0.15">
      <c r="A28" s="215">
        <v>15</v>
      </c>
      <c r="B28" s="117" t="s">
        <v>143</v>
      </c>
      <c r="C28" s="117" t="s">
        <v>141</v>
      </c>
      <c r="D28" s="117" t="s">
        <v>142</v>
      </c>
      <c r="E28" s="122" t="s">
        <v>118</v>
      </c>
      <c r="F28" s="120"/>
      <c r="G28" s="120">
        <f t="shared" si="5"/>
        <v>13.0929</v>
      </c>
      <c r="H28" s="101">
        <f t="shared" si="6"/>
        <v>13.878474000000001</v>
      </c>
      <c r="I28" s="101">
        <f t="shared" si="7"/>
        <v>0</v>
      </c>
      <c r="J28" s="101">
        <f t="shared" si="7"/>
        <v>0</v>
      </c>
      <c r="K28" s="121">
        <v>11.484999999999999</v>
      </c>
      <c r="L28" s="101">
        <f t="shared" si="8"/>
        <v>1.6079000000000001</v>
      </c>
      <c r="M28" s="101">
        <f t="shared" si="9"/>
        <v>0.78557399999999999</v>
      </c>
      <c r="N28" s="101"/>
      <c r="O28" s="103"/>
      <c r="P28" s="106"/>
    </row>
    <row r="29" spans="1:16" s="105" customFormat="1" ht="148.5" customHeight="1" outlineLevel="1" x14ac:dyDescent="0.15">
      <c r="A29" s="215">
        <v>16</v>
      </c>
      <c r="B29" s="123" t="s">
        <v>144</v>
      </c>
      <c r="C29" s="117" t="s">
        <v>141</v>
      </c>
      <c r="D29" s="117" t="s">
        <v>142</v>
      </c>
      <c r="E29" s="122" t="s">
        <v>118</v>
      </c>
      <c r="F29" s="120"/>
      <c r="G29" s="120">
        <f t="shared" si="5"/>
        <v>19.38</v>
      </c>
      <c r="H29" s="101">
        <f t="shared" si="6"/>
        <v>20.5428</v>
      </c>
      <c r="I29" s="101">
        <f t="shared" si="7"/>
        <v>0</v>
      </c>
      <c r="J29" s="101">
        <f t="shared" si="7"/>
        <v>0</v>
      </c>
      <c r="K29" s="121">
        <v>17</v>
      </c>
      <c r="L29" s="101">
        <f t="shared" si="8"/>
        <v>2.3800000000000003</v>
      </c>
      <c r="M29" s="101">
        <f t="shared" si="9"/>
        <v>1.1627999999999998</v>
      </c>
      <c r="N29" s="101"/>
      <c r="O29" s="103"/>
      <c r="P29" s="106"/>
    </row>
    <row r="30" spans="1:16" s="105" customFormat="1" ht="155.25" customHeight="1" outlineLevel="1" x14ac:dyDescent="0.15">
      <c r="A30" s="215">
        <v>17</v>
      </c>
      <c r="B30" s="117" t="s">
        <v>145</v>
      </c>
      <c r="C30" s="117" t="s">
        <v>141</v>
      </c>
      <c r="D30" s="117" t="s">
        <v>142</v>
      </c>
      <c r="E30" s="116" t="s">
        <v>118</v>
      </c>
      <c r="F30" s="120"/>
      <c r="G30" s="120">
        <f t="shared" si="5"/>
        <v>10.2828</v>
      </c>
      <c r="H30" s="101">
        <f t="shared" si="6"/>
        <v>10.899768</v>
      </c>
      <c r="I30" s="101">
        <f t="shared" si="7"/>
        <v>0</v>
      </c>
      <c r="J30" s="101">
        <f t="shared" si="7"/>
        <v>0</v>
      </c>
      <c r="K30" s="121">
        <v>9.02</v>
      </c>
      <c r="L30" s="101">
        <f t="shared" si="8"/>
        <v>1.2628000000000001</v>
      </c>
      <c r="M30" s="101">
        <f t="shared" si="9"/>
        <v>0.61696799999999996</v>
      </c>
      <c r="N30" s="101"/>
      <c r="O30" s="103"/>
      <c r="P30" s="106"/>
    </row>
    <row r="31" spans="1:16" s="105" customFormat="1" ht="155.25" customHeight="1" outlineLevel="1" x14ac:dyDescent="0.15">
      <c r="A31" s="215">
        <v>18</v>
      </c>
      <c r="B31" s="117" t="s">
        <v>124</v>
      </c>
      <c r="C31" s="117" t="s">
        <v>141</v>
      </c>
      <c r="D31" s="117" t="s">
        <v>142</v>
      </c>
      <c r="E31" s="116" t="s">
        <v>118</v>
      </c>
      <c r="F31" s="120"/>
      <c r="G31" s="120">
        <f t="shared" si="5"/>
        <v>13.0929</v>
      </c>
      <c r="H31" s="101">
        <f t="shared" si="6"/>
        <v>13.878474000000001</v>
      </c>
      <c r="I31" s="101">
        <f t="shared" si="7"/>
        <v>0</v>
      </c>
      <c r="J31" s="101">
        <f t="shared" si="7"/>
        <v>0</v>
      </c>
      <c r="K31" s="121">
        <v>11.484999999999999</v>
      </c>
      <c r="L31" s="101">
        <f t="shared" si="8"/>
        <v>1.6079000000000001</v>
      </c>
      <c r="M31" s="101">
        <f t="shared" si="9"/>
        <v>0.78557399999999999</v>
      </c>
      <c r="N31" s="101"/>
      <c r="O31" s="103"/>
      <c r="P31" s="106"/>
    </row>
    <row r="32" spans="1:16" s="105" customFormat="1" ht="168.75" customHeight="1" outlineLevel="1" x14ac:dyDescent="0.15">
      <c r="A32" s="215">
        <v>19</v>
      </c>
      <c r="B32" s="99" t="s">
        <v>146</v>
      </c>
      <c r="C32" s="99" t="s">
        <v>141</v>
      </c>
      <c r="D32" s="124" t="s">
        <v>147</v>
      </c>
      <c r="E32" s="116" t="s">
        <v>118</v>
      </c>
      <c r="F32" s="120"/>
      <c r="G32" s="120">
        <f t="shared" si="5"/>
        <v>1.8695999999999999</v>
      </c>
      <c r="H32" s="101">
        <f t="shared" si="6"/>
        <v>1.981776</v>
      </c>
      <c r="I32" s="101">
        <f t="shared" si="7"/>
        <v>0</v>
      </c>
      <c r="J32" s="101">
        <f t="shared" si="7"/>
        <v>0</v>
      </c>
      <c r="K32" s="121">
        <v>1.64</v>
      </c>
      <c r="L32" s="101">
        <f t="shared" si="8"/>
        <v>0.2296</v>
      </c>
      <c r="M32" s="101">
        <f t="shared" si="9"/>
        <v>0.112176</v>
      </c>
      <c r="N32" s="101"/>
      <c r="O32" s="125"/>
      <c r="P32" s="106"/>
    </row>
    <row r="33" spans="1:16" s="105" customFormat="1" ht="99" customHeight="1" outlineLevel="1" x14ac:dyDescent="0.15">
      <c r="A33" s="215">
        <v>20</v>
      </c>
      <c r="B33" s="126" t="s">
        <v>148</v>
      </c>
      <c r="C33" s="127" t="s">
        <v>149</v>
      </c>
      <c r="D33" s="128" t="s">
        <v>150</v>
      </c>
      <c r="E33" s="129" t="s">
        <v>129</v>
      </c>
      <c r="F33" s="130"/>
      <c r="G33" s="131">
        <f t="shared" si="5"/>
        <v>5.6087999999999997E-3</v>
      </c>
      <c r="H33" s="113">
        <f t="shared" si="6"/>
        <v>5.9453279999999997E-3</v>
      </c>
      <c r="I33" s="101">
        <f t="shared" si="7"/>
        <v>0</v>
      </c>
      <c r="J33" s="101">
        <f t="shared" si="7"/>
        <v>0</v>
      </c>
      <c r="K33" s="132">
        <v>4.9199999999999999E-3</v>
      </c>
      <c r="L33" s="113">
        <f t="shared" si="8"/>
        <v>6.8880000000000005E-4</v>
      </c>
      <c r="M33" s="113">
        <f t="shared" si="9"/>
        <v>3.3652799999999995E-4</v>
      </c>
      <c r="N33" s="133"/>
      <c r="O33" s="134" t="s">
        <v>151</v>
      </c>
      <c r="P33" s="135"/>
    </row>
    <row r="34" spans="1:16" s="105" customFormat="1" ht="21" customHeight="1" x14ac:dyDescent="0.15">
      <c r="A34" s="215"/>
      <c r="B34" s="117"/>
      <c r="C34" s="117"/>
      <c r="D34" s="117"/>
      <c r="E34" s="116"/>
      <c r="F34" s="118"/>
      <c r="G34" s="118"/>
      <c r="H34" s="101"/>
      <c r="I34" s="101"/>
      <c r="J34" s="119"/>
      <c r="K34" s="119"/>
      <c r="L34" s="119"/>
      <c r="M34" s="119"/>
      <c r="N34" s="119"/>
      <c r="O34" s="103"/>
      <c r="P34" s="106"/>
    </row>
    <row r="35" spans="1:16" s="97" customFormat="1" ht="24" x14ac:dyDescent="0.15">
      <c r="A35" s="212" t="s">
        <v>60</v>
      </c>
      <c r="B35" s="136" t="s">
        <v>152</v>
      </c>
      <c r="C35" s="136"/>
      <c r="D35" s="136"/>
      <c r="E35" s="92"/>
      <c r="F35" s="94"/>
      <c r="G35" s="94"/>
      <c r="H35" s="94"/>
      <c r="I35" s="94">
        <f>SUBTOTAL(9,I36:I44)</f>
        <v>0</v>
      </c>
      <c r="J35" s="94">
        <f>SUBTOTAL(9,J36:J44)</f>
        <v>0</v>
      </c>
      <c r="K35" s="94"/>
      <c r="L35" s="94"/>
      <c r="M35" s="94"/>
      <c r="N35" s="94"/>
      <c r="O35" s="95" t="s">
        <v>8</v>
      </c>
      <c r="P35" s="96"/>
    </row>
    <row r="36" spans="1:16" s="105" customFormat="1" ht="73.5" customHeight="1" outlineLevel="1" x14ac:dyDescent="0.15">
      <c r="A36" s="220">
        <v>21</v>
      </c>
      <c r="B36" s="222" t="s">
        <v>153</v>
      </c>
      <c r="C36" s="222" t="s">
        <v>154</v>
      </c>
      <c r="D36" s="117" t="s">
        <v>155</v>
      </c>
      <c r="E36" s="122" t="s">
        <v>129</v>
      </c>
      <c r="F36" s="120"/>
      <c r="G36" s="131">
        <f t="shared" ref="G36:G43" si="10">K36+L36</f>
        <v>3.7620000000000002E-3</v>
      </c>
      <c r="H36" s="113">
        <f t="shared" ref="H36:H43" si="11">K36+L36+M36</f>
        <v>3.9877200000000002E-3</v>
      </c>
      <c r="I36" s="101">
        <f>$F36*G36</f>
        <v>0</v>
      </c>
      <c r="J36" s="101">
        <f>$F36*H36</f>
        <v>0</v>
      </c>
      <c r="K36" s="132">
        <v>3.3E-3</v>
      </c>
      <c r="L36" s="113">
        <f t="shared" ref="L36:L43" si="12">K36*$L$8</f>
        <v>4.6200000000000006E-4</v>
      </c>
      <c r="M36" s="113">
        <f t="shared" ref="M36:M43" si="13">(K36+L36)*$M$8</f>
        <v>2.2572E-4</v>
      </c>
      <c r="N36" s="101"/>
      <c r="O36" s="134" t="s">
        <v>151</v>
      </c>
      <c r="P36" s="137"/>
    </row>
    <row r="37" spans="1:16" s="105" customFormat="1" ht="73.5" customHeight="1" outlineLevel="1" x14ac:dyDescent="0.15">
      <c r="A37" s="221"/>
      <c r="B37" s="223"/>
      <c r="C37" s="223"/>
      <c r="D37" s="117" t="s">
        <v>156</v>
      </c>
      <c r="E37" s="122" t="s">
        <v>129</v>
      </c>
      <c r="F37" s="120"/>
      <c r="G37" s="131">
        <f t="shared" si="10"/>
        <v>1.9379999999999998E-3</v>
      </c>
      <c r="H37" s="113">
        <f t="shared" si="11"/>
        <v>2.0542799999999999E-3</v>
      </c>
      <c r="I37" s="101">
        <f t="shared" ref="I37:J43" si="14">$F37*G37</f>
        <v>0</v>
      </c>
      <c r="J37" s="101">
        <f t="shared" si="14"/>
        <v>0</v>
      </c>
      <c r="K37" s="132">
        <v>1.6999999999999999E-3</v>
      </c>
      <c r="L37" s="113">
        <f t="shared" si="12"/>
        <v>2.3800000000000001E-4</v>
      </c>
      <c r="M37" s="113">
        <f t="shared" si="13"/>
        <v>1.1627999999999999E-4</v>
      </c>
      <c r="N37" s="101"/>
      <c r="O37" s="134" t="s">
        <v>151</v>
      </c>
      <c r="P37" s="137"/>
    </row>
    <row r="38" spans="1:16" s="105" customFormat="1" ht="73.5" customHeight="1" outlineLevel="1" x14ac:dyDescent="0.15">
      <c r="A38" s="220">
        <v>22</v>
      </c>
      <c r="B38" s="222" t="s">
        <v>157</v>
      </c>
      <c r="C38" s="222" t="s">
        <v>154</v>
      </c>
      <c r="D38" s="117" t="s">
        <v>155</v>
      </c>
      <c r="E38" s="122" t="s">
        <v>129</v>
      </c>
      <c r="F38" s="120"/>
      <c r="G38" s="131">
        <f t="shared" si="10"/>
        <v>3.7620000000000002E-3</v>
      </c>
      <c r="H38" s="113">
        <f t="shared" si="11"/>
        <v>3.9877200000000002E-3</v>
      </c>
      <c r="I38" s="101">
        <f t="shared" si="14"/>
        <v>0</v>
      </c>
      <c r="J38" s="101">
        <f t="shared" si="14"/>
        <v>0</v>
      </c>
      <c r="K38" s="132">
        <v>3.3E-3</v>
      </c>
      <c r="L38" s="113">
        <f t="shared" si="12"/>
        <v>4.6200000000000006E-4</v>
      </c>
      <c r="M38" s="113">
        <f t="shared" si="13"/>
        <v>2.2572E-4</v>
      </c>
      <c r="N38" s="101"/>
      <c r="O38" s="134" t="s">
        <v>151</v>
      </c>
      <c r="P38" s="137"/>
    </row>
    <row r="39" spans="1:16" s="105" customFormat="1" ht="73.5" customHeight="1" outlineLevel="1" x14ac:dyDescent="0.15">
      <c r="A39" s="221"/>
      <c r="B39" s="223"/>
      <c r="C39" s="223"/>
      <c r="D39" s="117" t="s">
        <v>158</v>
      </c>
      <c r="E39" s="122" t="s">
        <v>129</v>
      </c>
      <c r="F39" s="120"/>
      <c r="G39" s="131">
        <f t="shared" si="10"/>
        <v>1.9379999999999998E-3</v>
      </c>
      <c r="H39" s="113">
        <f t="shared" si="11"/>
        <v>2.0542799999999999E-3</v>
      </c>
      <c r="I39" s="101">
        <f t="shared" si="14"/>
        <v>0</v>
      </c>
      <c r="J39" s="101">
        <f t="shared" si="14"/>
        <v>0</v>
      </c>
      <c r="K39" s="132">
        <v>1.6999999999999999E-3</v>
      </c>
      <c r="L39" s="113">
        <f t="shared" si="12"/>
        <v>2.3800000000000001E-4</v>
      </c>
      <c r="M39" s="113">
        <f t="shared" si="13"/>
        <v>1.1627999999999999E-4</v>
      </c>
      <c r="N39" s="101"/>
      <c r="O39" s="134" t="s">
        <v>151</v>
      </c>
      <c r="P39" s="137"/>
    </row>
    <row r="40" spans="1:16" s="105" customFormat="1" ht="73.5" customHeight="1" outlineLevel="1" x14ac:dyDescent="0.15">
      <c r="A40" s="220">
        <v>23</v>
      </c>
      <c r="B40" s="222" t="s">
        <v>159</v>
      </c>
      <c r="C40" s="222" t="s">
        <v>154</v>
      </c>
      <c r="D40" s="99" t="s">
        <v>155</v>
      </c>
      <c r="E40" s="122" t="s">
        <v>129</v>
      </c>
      <c r="F40" s="120"/>
      <c r="G40" s="131">
        <f t="shared" si="10"/>
        <v>3.7620000000000002E-3</v>
      </c>
      <c r="H40" s="113">
        <f t="shared" si="11"/>
        <v>3.9877200000000002E-3</v>
      </c>
      <c r="I40" s="101">
        <f t="shared" si="14"/>
        <v>0</v>
      </c>
      <c r="J40" s="101">
        <f t="shared" si="14"/>
        <v>0</v>
      </c>
      <c r="K40" s="132">
        <v>3.3E-3</v>
      </c>
      <c r="L40" s="113">
        <f t="shared" si="12"/>
        <v>4.6200000000000006E-4</v>
      </c>
      <c r="M40" s="113">
        <f t="shared" si="13"/>
        <v>2.2572E-4</v>
      </c>
      <c r="N40" s="101"/>
      <c r="O40" s="134" t="s">
        <v>151</v>
      </c>
      <c r="P40" s="137"/>
    </row>
    <row r="41" spans="1:16" s="105" customFormat="1" ht="73.5" customHeight="1" outlineLevel="1" x14ac:dyDescent="0.15">
      <c r="A41" s="221"/>
      <c r="B41" s="223"/>
      <c r="C41" s="223"/>
      <c r="D41" s="99" t="s">
        <v>158</v>
      </c>
      <c r="E41" s="122" t="s">
        <v>129</v>
      </c>
      <c r="F41" s="120"/>
      <c r="G41" s="131">
        <f t="shared" si="10"/>
        <v>1.9379999999999998E-3</v>
      </c>
      <c r="H41" s="113">
        <f t="shared" si="11"/>
        <v>2.0542799999999999E-3</v>
      </c>
      <c r="I41" s="101">
        <f t="shared" si="14"/>
        <v>0</v>
      </c>
      <c r="J41" s="101">
        <f t="shared" si="14"/>
        <v>0</v>
      </c>
      <c r="K41" s="132">
        <v>1.6999999999999999E-3</v>
      </c>
      <c r="L41" s="113">
        <f t="shared" si="12"/>
        <v>2.3800000000000001E-4</v>
      </c>
      <c r="M41" s="113">
        <f t="shared" si="13"/>
        <v>1.1627999999999999E-4</v>
      </c>
      <c r="N41" s="101"/>
      <c r="O41" s="134" t="s">
        <v>151</v>
      </c>
      <c r="P41" s="137"/>
    </row>
    <row r="42" spans="1:16" s="105" customFormat="1" ht="73.5" customHeight="1" outlineLevel="1" x14ac:dyDescent="0.15">
      <c r="A42" s="220">
        <v>24</v>
      </c>
      <c r="B42" s="222" t="s">
        <v>160</v>
      </c>
      <c r="C42" s="222" t="s">
        <v>154</v>
      </c>
      <c r="D42" s="99" t="s">
        <v>161</v>
      </c>
      <c r="E42" s="122" t="s">
        <v>129</v>
      </c>
      <c r="F42" s="120"/>
      <c r="G42" s="131">
        <f t="shared" si="10"/>
        <v>3.7620000000000002E-3</v>
      </c>
      <c r="H42" s="113">
        <f t="shared" si="11"/>
        <v>3.9877200000000002E-3</v>
      </c>
      <c r="I42" s="101">
        <f t="shared" si="14"/>
        <v>0</v>
      </c>
      <c r="J42" s="101">
        <f t="shared" si="14"/>
        <v>0</v>
      </c>
      <c r="K42" s="132">
        <v>3.3E-3</v>
      </c>
      <c r="L42" s="113">
        <f t="shared" si="12"/>
        <v>4.6200000000000006E-4</v>
      </c>
      <c r="M42" s="113">
        <f t="shared" si="13"/>
        <v>2.2572E-4</v>
      </c>
      <c r="N42" s="101"/>
      <c r="O42" s="134" t="s">
        <v>151</v>
      </c>
      <c r="P42" s="137"/>
    </row>
    <row r="43" spans="1:16" s="105" customFormat="1" ht="73.5" customHeight="1" outlineLevel="1" x14ac:dyDescent="0.15">
      <c r="A43" s="221"/>
      <c r="B43" s="238"/>
      <c r="C43" s="238"/>
      <c r="D43" s="138" t="s">
        <v>158</v>
      </c>
      <c r="E43" s="122" t="s">
        <v>129</v>
      </c>
      <c r="F43" s="120"/>
      <c r="G43" s="131">
        <f t="shared" si="10"/>
        <v>1.9379999999999998E-3</v>
      </c>
      <c r="H43" s="113">
        <f t="shared" si="11"/>
        <v>2.0542799999999999E-3</v>
      </c>
      <c r="I43" s="101">
        <f t="shared" si="14"/>
        <v>0</v>
      </c>
      <c r="J43" s="101">
        <f t="shared" si="14"/>
        <v>0</v>
      </c>
      <c r="K43" s="132">
        <v>1.6999999999999999E-3</v>
      </c>
      <c r="L43" s="113">
        <f t="shared" si="12"/>
        <v>2.3800000000000001E-4</v>
      </c>
      <c r="M43" s="113">
        <f t="shared" si="13"/>
        <v>1.1627999999999999E-4</v>
      </c>
      <c r="N43" s="101"/>
      <c r="O43" s="134" t="s">
        <v>151</v>
      </c>
      <c r="P43" s="137"/>
    </row>
    <row r="44" spans="1:16" s="105" customFormat="1" ht="24.75" customHeight="1" x14ac:dyDescent="0.15">
      <c r="A44" s="216"/>
      <c r="B44" s="126"/>
      <c r="C44" s="139"/>
      <c r="D44" s="126"/>
      <c r="E44" s="140"/>
      <c r="F44" s="141"/>
      <c r="G44" s="141"/>
      <c r="H44" s="142"/>
      <c r="I44" s="142"/>
      <c r="J44" s="142"/>
      <c r="K44" s="142"/>
      <c r="L44" s="142"/>
      <c r="M44" s="142"/>
      <c r="N44" s="142"/>
      <c r="O44" s="143"/>
      <c r="P44" s="106"/>
    </row>
    <row r="45" spans="1:16" s="150" customFormat="1" ht="24" customHeight="1" x14ac:dyDescent="0.15">
      <c r="A45" s="217"/>
      <c r="B45" s="144" t="s">
        <v>162</v>
      </c>
      <c r="C45" s="144"/>
      <c r="D45" s="144"/>
      <c r="E45" s="145"/>
      <c r="F45" s="146"/>
      <c r="G45" s="146"/>
      <c r="H45" s="146"/>
      <c r="I45" s="147">
        <f>SUBTOTAL(9,I10:I43)</f>
        <v>469103.43929999991</v>
      </c>
      <c r="J45" s="147">
        <f>SUBTOTAL(9,J10:J43)</f>
        <v>497249.64565799991</v>
      </c>
      <c r="K45" s="147"/>
      <c r="L45" s="147"/>
      <c r="M45" s="147"/>
      <c r="N45" s="147"/>
      <c r="O45" s="148"/>
      <c r="P45" s="149"/>
    </row>
    <row r="46" spans="1:16" s="154" customFormat="1" ht="13.5" customHeight="1" x14ac:dyDescent="0.15">
      <c r="A46" s="218"/>
      <c r="B46" s="151"/>
      <c r="C46" s="151"/>
      <c r="D46" s="151"/>
      <c r="E46" s="151"/>
      <c r="F46" s="151"/>
      <c r="G46" s="151"/>
      <c r="H46" s="151"/>
      <c r="I46" s="151"/>
      <c r="J46" s="152"/>
      <c r="K46" s="152"/>
      <c r="L46" s="152"/>
      <c r="M46" s="152"/>
      <c r="N46" s="152"/>
      <c r="O46" s="153"/>
      <c r="P46" s="153"/>
    </row>
    <row r="47" spans="1:16" s="105" customFormat="1" ht="71.25" customHeight="1" x14ac:dyDescent="0.15">
      <c r="A47" s="237" t="s">
        <v>163</v>
      </c>
      <c r="B47" s="237"/>
      <c r="C47" s="237"/>
      <c r="D47" s="237"/>
      <c r="E47" s="237"/>
      <c r="F47" s="237"/>
      <c r="G47" s="237"/>
      <c r="H47" s="237"/>
      <c r="I47" s="237"/>
      <c r="J47" s="237"/>
      <c r="K47" s="237"/>
      <c r="L47" s="237"/>
      <c r="M47" s="237"/>
      <c r="N47" s="237"/>
      <c r="O47" s="237"/>
      <c r="P47" s="155"/>
    </row>
    <row r="48" spans="1:16" s="105" customFormat="1" ht="70.5" customHeight="1" x14ac:dyDescent="0.15">
      <c r="A48" s="237"/>
      <c r="B48" s="237"/>
      <c r="C48" s="237"/>
      <c r="D48" s="237"/>
      <c r="E48" s="237"/>
      <c r="F48" s="237"/>
      <c r="G48" s="237"/>
      <c r="H48" s="237"/>
      <c r="I48" s="237"/>
      <c r="J48" s="237"/>
      <c r="K48" s="237"/>
      <c r="L48" s="237"/>
      <c r="M48" s="237"/>
      <c r="N48" s="237"/>
      <c r="O48" s="237"/>
      <c r="P48" s="155"/>
    </row>
    <row r="49" spans="1:16" s="105" customFormat="1" ht="105" customHeight="1" x14ac:dyDescent="0.15">
      <c r="A49" s="237"/>
      <c r="B49" s="237"/>
      <c r="C49" s="237"/>
      <c r="D49" s="237"/>
      <c r="E49" s="237"/>
      <c r="F49" s="237"/>
      <c r="G49" s="237"/>
      <c r="H49" s="237"/>
      <c r="I49" s="237"/>
      <c r="J49" s="237"/>
      <c r="K49" s="237"/>
      <c r="L49" s="237"/>
      <c r="M49" s="237"/>
      <c r="N49" s="237"/>
      <c r="O49" s="237"/>
      <c r="P49" s="155"/>
    </row>
    <row r="50" spans="1:16" s="105" customFormat="1" ht="43.5" customHeight="1" x14ac:dyDescent="0.15">
      <c r="A50" s="237"/>
      <c r="B50" s="237"/>
      <c r="C50" s="237"/>
      <c r="D50" s="237"/>
      <c r="E50" s="237"/>
      <c r="F50" s="237"/>
      <c r="G50" s="237"/>
      <c r="H50" s="237"/>
      <c r="I50" s="237"/>
      <c r="J50" s="237"/>
      <c r="K50" s="237"/>
      <c r="L50" s="237"/>
      <c r="M50" s="237"/>
      <c r="N50" s="237"/>
      <c r="O50" s="237"/>
      <c r="P50" s="156"/>
    </row>
  </sheetData>
  <mergeCells count="35">
    <mergeCell ref="A47:O50"/>
    <mergeCell ref="A40:A41"/>
    <mergeCell ref="B40:B41"/>
    <mergeCell ref="C40:C41"/>
    <mergeCell ref="A42:A43"/>
    <mergeCell ref="B42:B43"/>
    <mergeCell ref="C42:C43"/>
    <mergeCell ref="K4:M4"/>
    <mergeCell ref="N4:N9"/>
    <mergeCell ref="C12:C19"/>
    <mergeCell ref="D12:D19"/>
    <mergeCell ref="A36:A37"/>
    <mergeCell ref="B36:B37"/>
    <mergeCell ref="C36:C37"/>
    <mergeCell ref="J6:J8"/>
    <mergeCell ref="K6:K8"/>
    <mergeCell ref="L5:L7"/>
    <mergeCell ref="M5:M7"/>
    <mergeCell ref="I6:I8"/>
    <mergeCell ref="A38:A39"/>
    <mergeCell ref="B38:B39"/>
    <mergeCell ref="C38:C39"/>
    <mergeCell ref="A1:O1"/>
    <mergeCell ref="A2:O2"/>
    <mergeCell ref="A4:A9"/>
    <mergeCell ref="B4:B9"/>
    <mergeCell ref="C4:C9"/>
    <mergeCell ref="D4:D9"/>
    <mergeCell ref="E4:E9"/>
    <mergeCell ref="F4:F8"/>
    <mergeCell ref="I4:I5"/>
    <mergeCell ref="J4:J5"/>
    <mergeCell ref="O4:O9"/>
    <mergeCell ref="G5:G8"/>
    <mergeCell ref="H5:H8"/>
  </mergeCells>
  <phoneticPr fontId="31" type="noConversion"/>
  <printOptions horizontalCentered="1"/>
  <pageMargins left="0.59027777777777801" right="0.235416666666667" top="0.74791666666666701" bottom="0.74791666666666701" header="0.27500000000000002" footer="0.27500000000000002"/>
  <pageSetup paperSize="9" scale="44" fitToHeight="0" orientation="portrait" r:id="rId1"/>
  <headerFooter>
    <oddHeader>&amp;L&amp;10&amp;G&amp;R&amp;10本清单执行期：2019年8月1日至2020年12月31日</oddHeader>
    <oddFooter>&amp;L&amp;10&amp;A</oddFooter>
  </headerFooter>
  <rowBreaks count="1" manualBreakCount="1">
    <brk id="34" max="11"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M23"/>
  <sheetViews>
    <sheetView view="pageBreakPreview" topLeftCell="A7" zoomScaleNormal="100" zoomScaleSheetLayoutView="100" workbookViewId="0">
      <selection activeCell="B14" sqref="B14:K14"/>
    </sheetView>
  </sheetViews>
  <sheetFormatPr defaultColWidth="9" defaultRowHeight="12" x14ac:dyDescent="0.15"/>
  <cols>
    <col min="1" max="1" width="4.5" style="169" customWidth="1"/>
    <col min="2" max="10" width="10.625" style="169" customWidth="1"/>
    <col min="11" max="11" width="11.25" style="169" customWidth="1"/>
    <col min="12" max="16384" width="9" style="169"/>
  </cols>
  <sheetData>
    <row r="1" spans="1:13" s="161" customFormat="1" ht="40.5" x14ac:dyDescent="0.15">
      <c r="A1" s="241" t="str">
        <f>'[3]表1 招标封面'!A3</f>
        <v>融创西南区域集团2019-2020年造价咨询区采招标【仅限重庆、四川、广西、云南、贵州】</v>
      </c>
      <c r="B1" s="242"/>
      <c r="C1" s="242"/>
      <c r="D1" s="242"/>
      <c r="E1" s="242"/>
      <c r="F1" s="242"/>
      <c r="G1" s="242"/>
      <c r="H1" s="242"/>
      <c r="I1" s="242"/>
      <c r="J1" s="242"/>
      <c r="K1" s="242"/>
      <c r="L1" s="160" t="s">
        <v>8</v>
      </c>
      <c r="M1" s="56"/>
    </row>
    <row r="2" spans="1:13" s="161" customFormat="1" ht="20.25" x14ac:dyDescent="0.15">
      <c r="A2" s="241" t="s">
        <v>9</v>
      </c>
      <c r="B2" s="242"/>
      <c r="C2" s="242"/>
      <c r="D2" s="242"/>
      <c r="E2" s="242"/>
      <c r="F2" s="242"/>
      <c r="G2" s="242"/>
      <c r="H2" s="242"/>
      <c r="I2" s="242"/>
      <c r="J2" s="242"/>
      <c r="K2" s="242"/>
      <c r="L2" s="160"/>
    </row>
    <row r="3" spans="1:13" s="165" customFormat="1" x14ac:dyDescent="0.15">
      <c r="A3" s="162"/>
      <c r="B3" s="163"/>
      <c r="C3" s="163"/>
      <c r="D3" s="163"/>
      <c r="E3" s="163"/>
      <c r="F3" s="163"/>
      <c r="G3" s="163"/>
      <c r="H3" s="163"/>
      <c r="I3" s="163"/>
      <c r="J3" s="163"/>
      <c r="K3" s="163"/>
      <c r="L3" s="164"/>
    </row>
    <row r="4" spans="1:13" s="167" customFormat="1" ht="24" x14ac:dyDescent="0.15">
      <c r="A4" s="243" t="s">
        <v>10</v>
      </c>
      <c r="B4" s="244"/>
      <c r="C4" s="244"/>
      <c r="D4" s="244"/>
      <c r="E4" s="244"/>
      <c r="F4" s="244"/>
      <c r="G4" s="244"/>
      <c r="H4" s="244"/>
      <c r="I4" s="244"/>
      <c r="J4" s="244"/>
      <c r="K4" s="245"/>
      <c r="L4" s="166" t="s">
        <v>8</v>
      </c>
    </row>
    <row r="5" spans="1:13" ht="24" x14ac:dyDescent="0.15">
      <c r="A5" s="168" t="s">
        <v>11</v>
      </c>
      <c r="B5" s="246" t="s">
        <v>12</v>
      </c>
      <c r="C5" s="246"/>
      <c r="D5" s="246"/>
      <c r="E5" s="246"/>
      <c r="F5" s="246"/>
      <c r="G5" s="246"/>
      <c r="H5" s="246"/>
      <c r="I5" s="246"/>
      <c r="J5" s="246"/>
      <c r="K5" s="247"/>
      <c r="L5" s="166" t="s">
        <v>8</v>
      </c>
    </row>
    <row r="6" spans="1:13" x14ac:dyDescent="0.15">
      <c r="A6" s="170"/>
      <c r="B6" s="246"/>
      <c r="C6" s="246"/>
      <c r="D6" s="246"/>
      <c r="E6" s="246"/>
      <c r="F6" s="246"/>
      <c r="G6" s="246"/>
      <c r="H6" s="246"/>
      <c r="I6" s="246"/>
      <c r="J6" s="246"/>
      <c r="K6" s="247"/>
    </row>
    <row r="7" spans="1:13" ht="24" x14ac:dyDescent="0.15">
      <c r="A7" s="248" t="s">
        <v>13</v>
      </c>
      <c r="B7" s="249"/>
      <c r="C7" s="249"/>
      <c r="D7" s="249"/>
      <c r="E7" s="249"/>
      <c r="F7" s="249"/>
      <c r="G7" s="249"/>
      <c r="H7" s="249"/>
      <c r="I7" s="249"/>
      <c r="J7" s="249"/>
      <c r="K7" s="250"/>
      <c r="L7" s="166" t="s">
        <v>8</v>
      </c>
    </row>
    <row r="8" spans="1:13" ht="24" x14ac:dyDescent="0.15">
      <c r="A8" s="168" t="s">
        <v>11</v>
      </c>
      <c r="B8" s="246" t="s">
        <v>164</v>
      </c>
      <c r="C8" s="246"/>
      <c r="D8" s="246"/>
      <c r="E8" s="246"/>
      <c r="F8" s="246"/>
      <c r="G8" s="246"/>
      <c r="H8" s="246"/>
      <c r="I8" s="246"/>
      <c r="J8" s="246"/>
      <c r="K8" s="247"/>
      <c r="L8" s="166" t="s">
        <v>8</v>
      </c>
    </row>
    <row r="9" spans="1:13" ht="17.25" customHeight="1" x14ac:dyDescent="0.15">
      <c r="A9" s="168" t="s">
        <v>18</v>
      </c>
      <c r="B9" s="246" t="s">
        <v>165</v>
      </c>
      <c r="C9" s="246"/>
      <c r="D9" s="246"/>
      <c r="E9" s="246"/>
      <c r="F9" s="246"/>
      <c r="G9" s="246"/>
      <c r="H9" s="246"/>
      <c r="I9" s="246"/>
      <c r="J9" s="246"/>
      <c r="K9" s="247"/>
      <c r="L9" s="166"/>
    </row>
    <row r="10" spans="1:13" x14ac:dyDescent="0.15">
      <c r="A10" s="170"/>
      <c r="B10" s="246"/>
      <c r="C10" s="246"/>
      <c r="D10" s="246"/>
      <c r="E10" s="246"/>
      <c r="F10" s="246"/>
      <c r="G10" s="246"/>
      <c r="H10" s="246"/>
      <c r="I10" s="246"/>
      <c r="J10" s="246"/>
      <c r="K10" s="247"/>
    </row>
    <row r="11" spans="1:13" ht="24" x14ac:dyDescent="0.15">
      <c r="A11" s="248" t="s">
        <v>14</v>
      </c>
      <c r="B11" s="249"/>
      <c r="C11" s="249"/>
      <c r="D11" s="249"/>
      <c r="E11" s="249"/>
      <c r="F11" s="249"/>
      <c r="G11" s="249"/>
      <c r="H11" s="249"/>
      <c r="I11" s="249"/>
      <c r="J11" s="249"/>
      <c r="K11" s="250"/>
      <c r="L11" s="166" t="s">
        <v>8</v>
      </c>
    </row>
    <row r="12" spans="1:13" ht="24" x14ac:dyDescent="0.15">
      <c r="A12" s="168" t="s">
        <v>11</v>
      </c>
      <c r="B12" s="246" t="s">
        <v>166</v>
      </c>
      <c r="C12" s="246"/>
      <c r="D12" s="246"/>
      <c r="E12" s="246"/>
      <c r="F12" s="246"/>
      <c r="G12" s="246"/>
      <c r="H12" s="246"/>
      <c r="I12" s="246"/>
      <c r="J12" s="246"/>
      <c r="K12" s="247"/>
      <c r="L12" s="166" t="s">
        <v>8</v>
      </c>
    </row>
    <row r="13" spans="1:13" ht="48" customHeight="1" x14ac:dyDescent="0.15">
      <c r="A13" s="168" t="s">
        <v>18</v>
      </c>
      <c r="B13" s="239" t="s">
        <v>167</v>
      </c>
      <c r="C13" s="239"/>
      <c r="D13" s="239"/>
      <c r="E13" s="239"/>
      <c r="F13" s="239"/>
      <c r="G13" s="239"/>
      <c r="H13" s="239"/>
      <c r="I13" s="239"/>
      <c r="J13" s="239"/>
      <c r="K13" s="240"/>
      <c r="L13" s="166"/>
    </row>
    <row r="14" spans="1:13" ht="48" customHeight="1" x14ac:dyDescent="0.15">
      <c r="A14" s="168" t="s">
        <v>21</v>
      </c>
      <c r="B14" s="246" t="s">
        <v>168</v>
      </c>
      <c r="C14" s="246"/>
      <c r="D14" s="246"/>
      <c r="E14" s="246"/>
      <c r="F14" s="246"/>
      <c r="G14" s="246"/>
      <c r="H14" s="246"/>
      <c r="I14" s="246"/>
      <c r="J14" s="246"/>
      <c r="K14" s="247"/>
      <c r="L14" s="166"/>
    </row>
    <row r="15" spans="1:13" ht="48" customHeight="1" x14ac:dyDescent="0.15">
      <c r="A15" s="168" t="s">
        <v>23</v>
      </c>
      <c r="B15" s="246" t="s">
        <v>169</v>
      </c>
      <c r="C15" s="246"/>
      <c r="D15" s="246"/>
      <c r="E15" s="246"/>
      <c r="F15" s="246"/>
      <c r="G15" s="246"/>
      <c r="H15" s="246"/>
      <c r="I15" s="246"/>
      <c r="J15" s="246"/>
      <c r="K15" s="247"/>
      <c r="L15" s="166"/>
    </row>
    <row r="16" spans="1:13" x14ac:dyDescent="0.15">
      <c r="A16" s="170"/>
      <c r="B16" s="246"/>
      <c r="C16" s="246"/>
      <c r="D16" s="246"/>
      <c r="E16" s="246"/>
      <c r="F16" s="246"/>
      <c r="G16" s="246"/>
      <c r="H16" s="246"/>
      <c r="I16" s="246"/>
      <c r="J16" s="246"/>
      <c r="K16" s="247"/>
    </row>
    <row r="17" spans="1:13" ht="24" x14ac:dyDescent="0.15">
      <c r="A17" s="253" t="s">
        <v>16</v>
      </c>
      <c r="B17" s="254"/>
      <c r="C17" s="254"/>
      <c r="D17" s="254"/>
      <c r="E17" s="254"/>
      <c r="F17" s="254"/>
      <c r="G17" s="254"/>
      <c r="H17" s="254"/>
      <c r="I17" s="254"/>
      <c r="J17" s="254"/>
      <c r="K17" s="255"/>
      <c r="L17" s="166" t="s">
        <v>8</v>
      </c>
    </row>
    <row r="18" spans="1:13" ht="24" x14ac:dyDescent="0.15">
      <c r="A18" s="168" t="s">
        <v>11</v>
      </c>
      <c r="B18" s="246" t="s">
        <v>170</v>
      </c>
      <c r="C18" s="246"/>
      <c r="D18" s="246"/>
      <c r="E18" s="246"/>
      <c r="F18" s="246"/>
      <c r="G18" s="246"/>
      <c r="H18" s="246"/>
      <c r="I18" s="246"/>
      <c r="J18" s="246"/>
      <c r="K18" s="247"/>
      <c r="L18" s="166" t="s">
        <v>8</v>
      </c>
    </row>
    <row r="19" spans="1:13" ht="36" x14ac:dyDescent="0.15">
      <c r="A19" s="168" t="s">
        <v>18</v>
      </c>
      <c r="B19" s="246" t="s">
        <v>171</v>
      </c>
      <c r="C19" s="246"/>
      <c r="D19" s="246"/>
      <c r="E19" s="246"/>
      <c r="F19" s="246"/>
      <c r="G19" s="246"/>
      <c r="H19" s="246"/>
      <c r="I19" s="246"/>
      <c r="J19" s="246"/>
      <c r="K19" s="247"/>
      <c r="L19" s="171" t="s">
        <v>20</v>
      </c>
    </row>
    <row r="20" spans="1:13" ht="24" x14ac:dyDescent="0.15">
      <c r="A20" s="168" t="s">
        <v>21</v>
      </c>
      <c r="B20" s="246" t="s">
        <v>172</v>
      </c>
      <c r="C20" s="246"/>
      <c r="D20" s="246"/>
      <c r="E20" s="246"/>
      <c r="F20" s="246"/>
      <c r="G20" s="246"/>
      <c r="H20" s="246"/>
      <c r="I20" s="246"/>
      <c r="J20" s="246"/>
      <c r="K20" s="247"/>
      <c r="L20" s="166" t="s">
        <v>8</v>
      </c>
    </row>
    <row r="21" spans="1:13" ht="106.5" customHeight="1" x14ac:dyDescent="0.15">
      <c r="A21" s="168" t="s">
        <v>23</v>
      </c>
      <c r="B21" s="246" t="s">
        <v>173</v>
      </c>
      <c r="C21" s="246"/>
      <c r="D21" s="246"/>
      <c r="E21" s="246"/>
      <c r="F21" s="246"/>
      <c r="G21" s="246"/>
      <c r="H21" s="246"/>
      <c r="I21" s="246"/>
      <c r="J21" s="246"/>
      <c r="K21" s="247"/>
      <c r="L21" s="166" t="s">
        <v>174</v>
      </c>
      <c r="M21" s="61"/>
    </row>
    <row r="22" spans="1:13" ht="72" x14ac:dyDescent="0.15">
      <c r="A22" s="168" t="s">
        <v>25</v>
      </c>
      <c r="B22" s="246" t="s">
        <v>175</v>
      </c>
      <c r="C22" s="246"/>
      <c r="D22" s="246"/>
      <c r="E22" s="246"/>
      <c r="F22" s="246"/>
      <c r="G22" s="246"/>
      <c r="H22" s="246"/>
      <c r="I22" s="246"/>
      <c r="J22" s="246"/>
      <c r="K22" s="247"/>
      <c r="L22" s="166" t="s">
        <v>176</v>
      </c>
      <c r="M22" s="61"/>
    </row>
    <row r="23" spans="1:13" x14ac:dyDescent="0.15">
      <c r="A23" s="172"/>
      <c r="B23" s="251"/>
      <c r="C23" s="251"/>
      <c r="D23" s="251"/>
      <c r="E23" s="251"/>
      <c r="F23" s="251"/>
      <c r="G23" s="251"/>
      <c r="H23" s="251"/>
      <c r="I23" s="251"/>
      <c r="J23" s="251"/>
      <c r="K23" s="252"/>
    </row>
  </sheetData>
  <mergeCells count="22">
    <mergeCell ref="B20:K20"/>
    <mergeCell ref="B21:K21"/>
    <mergeCell ref="B22:K22"/>
    <mergeCell ref="B23:K23"/>
    <mergeCell ref="B14:K14"/>
    <mergeCell ref="B15:K15"/>
    <mergeCell ref="B16:K16"/>
    <mergeCell ref="A17:K17"/>
    <mergeCell ref="B18:K18"/>
    <mergeCell ref="B19:K19"/>
    <mergeCell ref="B13:K13"/>
    <mergeCell ref="A1:K1"/>
    <mergeCell ref="A2:K2"/>
    <mergeCell ref="A4:K4"/>
    <mergeCell ref="B5:K5"/>
    <mergeCell ref="B6:K6"/>
    <mergeCell ref="A7:K7"/>
    <mergeCell ref="B8:K8"/>
    <mergeCell ref="B9:K9"/>
    <mergeCell ref="B10:K10"/>
    <mergeCell ref="A11:K11"/>
    <mergeCell ref="B12:K12"/>
  </mergeCells>
  <phoneticPr fontId="31" type="noConversion"/>
  <printOptions horizontalCentered="1"/>
  <pageMargins left="0.59027777777777801" right="0.235416666666667" top="0.74791666666666701" bottom="0.74791666666666701" header="0.27500000000000002" footer="0.27500000000000002"/>
  <pageSetup paperSize="9" scale="87" fitToHeight="0" orientation="portrait" r:id="rId1"/>
  <headerFooter>
    <oddHeader>&amp;L&amp;10&amp;G&amp;R&amp;10本清单执行期：2019年8月1日至2020年12月31日</oddHeader>
    <oddFooter>&amp;L&amp;10&amp;A</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2"/>
  <sheetViews>
    <sheetView view="pageBreakPreview" zoomScale="50" zoomScaleNormal="100" zoomScaleSheetLayoutView="50" workbookViewId="0">
      <selection activeCell="H14" sqref="H14"/>
    </sheetView>
  </sheetViews>
  <sheetFormatPr defaultColWidth="9" defaultRowHeight="13.5" x14ac:dyDescent="0.15"/>
  <cols>
    <col min="1" max="1" width="25.125" customWidth="1"/>
    <col min="2" max="2" width="60.5" customWidth="1"/>
    <col min="3" max="3" width="25.125" customWidth="1"/>
  </cols>
  <sheetData>
    <row r="1" spans="1:3" ht="10.5" customHeight="1" x14ac:dyDescent="0.15">
      <c r="A1" s="62"/>
      <c r="B1" s="63"/>
      <c r="C1" s="63"/>
    </row>
    <row r="2" spans="1:3" ht="10.5" customHeight="1" x14ac:dyDescent="0.15">
      <c r="A2" s="64"/>
      <c r="B2" s="65"/>
      <c r="C2" s="65"/>
    </row>
    <row r="3" spans="1:3" ht="30.75" customHeight="1" x14ac:dyDescent="0.15">
      <c r="A3" s="258" t="s">
        <v>0</v>
      </c>
      <c r="B3" s="258"/>
      <c r="C3" s="258"/>
    </row>
    <row r="4" spans="1:3" ht="30.75" customHeight="1" x14ac:dyDescent="0.15">
      <c r="A4" s="258"/>
      <c r="B4" s="258"/>
      <c r="C4" s="258"/>
    </row>
    <row r="5" spans="1:3" ht="30.75" customHeight="1" x14ac:dyDescent="0.15">
      <c r="A5" s="258"/>
      <c r="B5" s="258"/>
      <c r="C5" s="258"/>
    </row>
    <row r="6" spans="1:3" ht="32.25" x14ac:dyDescent="0.15">
      <c r="A6" s="66"/>
      <c r="B6" s="67"/>
      <c r="C6" s="67"/>
    </row>
    <row r="7" spans="1:3" ht="32.25" x14ac:dyDescent="0.15">
      <c r="A7" s="66"/>
      <c r="B7" s="67"/>
      <c r="C7" s="67"/>
    </row>
    <row r="8" spans="1:3" ht="32.25" x14ac:dyDescent="0.4">
      <c r="A8" s="68"/>
      <c r="B8" s="67"/>
      <c r="C8" s="67"/>
    </row>
    <row r="9" spans="1:3" ht="60.75" customHeight="1" x14ac:dyDescent="0.15">
      <c r="A9" s="256" t="s">
        <v>92</v>
      </c>
      <c r="B9" s="257"/>
      <c r="C9" s="257"/>
    </row>
    <row r="10" spans="1:3" ht="60.75" customHeight="1" x14ac:dyDescent="0.15">
      <c r="A10" s="257"/>
      <c r="B10" s="257"/>
      <c r="C10" s="257"/>
    </row>
    <row r="11" spans="1:3" ht="32.25" x14ac:dyDescent="0.4">
      <c r="A11" s="68"/>
      <c r="B11" s="67"/>
      <c r="C11" s="67"/>
    </row>
    <row r="12" spans="1:3" ht="32.25" x14ac:dyDescent="0.4">
      <c r="A12" s="68"/>
      <c r="B12" s="67"/>
      <c r="C12" s="67"/>
    </row>
    <row r="13" spans="1:3" ht="32.25" x14ac:dyDescent="0.4">
      <c r="A13" s="68"/>
      <c r="B13" s="67"/>
      <c r="C13" s="67"/>
    </row>
    <row r="14" spans="1:3" ht="67.5" customHeight="1" x14ac:dyDescent="0.25">
      <c r="A14" s="69" t="s">
        <v>1</v>
      </c>
      <c r="B14" s="70"/>
      <c r="C14" s="69" t="s">
        <v>2</v>
      </c>
    </row>
    <row r="15" spans="1:3" ht="67.5" customHeight="1" x14ac:dyDescent="0.25">
      <c r="A15" s="69" t="s">
        <v>3</v>
      </c>
      <c r="B15" s="71"/>
      <c r="C15" s="69" t="s">
        <v>4</v>
      </c>
    </row>
    <row r="16" spans="1:3" ht="67.5" customHeight="1" x14ac:dyDescent="0.25">
      <c r="A16" s="69" t="s">
        <v>5</v>
      </c>
      <c r="B16" s="71"/>
      <c r="C16" s="69" t="s">
        <v>4</v>
      </c>
    </row>
    <row r="17" spans="1:3" ht="67.5" customHeight="1" x14ac:dyDescent="0.25">
      <c r="A17" s="69" t="s">
        <v>6</v>
      </c>
      <c r="B17" s="72"/>
      <c r="C17" s="69"/>
    </row>
    <row r="18" spans="1:3" ht="18.75" x14ac:dyDescent="0.25">
      <c r="A18" s="73"/>
      <c r="B18" s="65"/>
      <c r="C18" s="65"/>
    </row>
    <row r="19" spans="1:3" ht="14.25" x14ac:dyDescent="0.15">
      <c r="A19" s="62"/>
      <c r="B19" s="63"/>
      <c r="C19" s="63"/>
    </row>
    <row r="20" spans="1:3" ht="14.25" x14ac:dyDescent="0.15">
      <c r="A20" s="64"/>
      <c r="B20" s="65"/>
      <c r="C20" s="65"/>
    </row>
    <row r="21" spans="1:3" x14ac:dyDescent="0.15">
      <c r="A21" s="258"/>
      <c r="B21" s="258"/>
      <c r="C21" s="258"/>
    </row>
    <row r="22" spans="1:3" x14ac:dyDescent="0.15">
      <c r="A22" s="258"/>
      <c r="B22" s="258"/>
      <c r="C22" s="258"/>
    </row>
  </sheetData>
  <mergeCells count="4">
    <mergeCell ref="A9:C9"/>
    <mergeCell ref="A10:C10"/>
    <mergeCell ref="A3:C5"/>
    <mergeCell ref="A21:C22"/>
  </mergeCells>
  <phoneticPr fontId="31" type="noConversion"/>
  <printOptions horizontalCentered="1"/>
  <pageMargins left="0.59055118110236204" right="0.23622047244094499" top="0.74803149606299202" bottom="0.74803149606299202" header="0.27559055118110198" footer="0.27559055118110198"/>
  <pageSetup paperSize="9" scale="87" fitToHeight="0" orientation="portrait" r:id="rId1"/>
  <headerFooter>
    <oddHeader>&amp;R本清单执行期：2018年7月1日至2019年6月30日</oddHeader>
    <oddFooter>&amp;L&amp;10&amp;A&amp;R第&amp;P页，共&amp;N页</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M21"/>
  <sheetViews>
    <sheetView view="pageBreakPreview" topLeftCell="A4" zoomScaleNormal="100" zoomScaleSheetLayoutView="100" workbookViewId="0">
      <selection activeCell="R19" sqref="Q19:R19"/>
    </sheetView>
  </sheetViews>
  <sheetFormatPr defaultColWidth="9" defaultRowHeight="12" x14ac:dyDescent="0.15"/>
  <cols>
    <col min="1" max="1" width="4.625" style="48" customWidth="1"/>
    <col min="2" max="11" width="12.125" style="48" customWidth="1"/>
    <col min="12" max="16384" width="9" style="48"/>
  </cols>
  <sheetData>
    <row r="1" spans="1:13" s="45" customFormat="1" ht="65.25" customHeight="1" x14ac:dyDescent="0.15">
      <c r="A1" s="259" t="s">
        <v>7</v>
      </c>
      <c r="B1" s="260"/>
      <c r="C1" s="260"/>
      <c r="D1" s="260"/>
      <c r="E1" s="260"/>
      <c r="F1" s="260"/>
      <c r="G1" s="260"/>
      <c r="H1" s="260"/>
      <c r="I1" s="260"/>
      <c r="J1" s="260"/>
      <c r="K1" s="260"/>
      <c r="L1" s="55" t="s">
        <v>8</v>
      </c>
      <c r="M1" s="56"/>
    </row>
    <row r="2" spans="1:13" s="45" customFormat="1" ht="20.25" x14ac:dyDescent="0.15">
      <c r="A2" s="259" t="s">
        <v>9</v>
      </c>
      <c r="B2" s="260"/>
      <c r="C2" s="260"/>
      <c r="D2" s="260"/>
      <c r="E2" s="260"/>
      <c r="F2" s="260"/>
      <c r="G2" s="260"/>
      <c r="H2" s="260"/>
      <c r="I2" s="260"/>
      <c r="J2" s="260"/>
      <c r="K2" s="260"/>
      <c r="L2" s="55"/>
    </row>
    <row r="3" spans="1:13" s="46" customFormat="1" x14ac:dyDescent="0.15">
      <c r="A3" s="49"/>
      <c r="B3" s="50"/>
      <c r="C3" s="50"/>
      <c r="D3" s="50"/>
      <c r="E3" s="50"/>
      <c r="F3" s="50"/>
      <c r="G3" s="50"/>
      <c r="H3" s="50"/>
      <c r="I3" s="50"/>
      <c r="J3" s="50"/>
      <c r="K3" s="50"/>
      <c r="L3" s="57"/>
    </row>
    <row r="4" spans="1:13" s="47" customFormat="1" ht="24" x14ac:dyDescent="0.15">
      <c r="A4" s="261" t="s">
        <v>10</v>
      </c>
      <c r="B4" s="262"/>
      <c r="C4" s="262"/>
      <c r="D4" s="262"/>
      <c r="E4" s="262"/>
      <c r="F4" s="262"/>
      <c r="G4" s="262"/>
      <c r="H4" s="262"/>
      <c r="I4" s="262"/>
      <c r="J4" s="262"/>
      <c r="K4" s="263"/>
      <c r="L4" s="58" t="s">
        <v>8</v>
      </c>
    </row>
    <row r="5" spans="1:13" ht="24" x14ac:dyDescent="0.15">
      <c r="A5" s="51" t="s">
        <v>11</v>
      </c>
      <c r="B5" s="264" t="s">
        <v>12</v>
      </c>
      <c r="C5" s="264"/>
      <c r="D5" s="264"/>
      <c r="E5" s="264"/>
      <c r="F5" s="264"/>
      <c r="G5" s="264"/>
      <c r="H5" s="264"/>
      <c r="I5" s="264"/>
      <c r="J5" s="264"/>
      <c r="K5" s="265"/>
      <c r="L5" s="58" t="s">
        <v>8</v>
      </c>
    </row>
    <row r="6" spans="1:13" x14ac:dyDescent="0.15">
      <c r="A6" s="53"/>
      <c r="B6" s="264"/>
      <c r="C6" s="264"/>
      <c r="D6" s="264"/>
      <c r="E6" s="264"/>
      <c r="F6" s="264"/>
      <c r="G6" s="264"/>
      <c r="H6" s="264"/>
      <c r="I6" s="264"/>
      <c r="J6" s="264"/>
      <c r="K6" s="265"/>
    </row>
    <row r="7" spans="1:13" ht="24" x14ac:dyDescent="0.15">
      <c r="A7" s="266" t="s">
        <v>13</v>
      </c>
      <c r="B7" s="267"/>
      <c r="C7" s="267"/>
      <c r="D7" s="267"/>
      <c r="E7" s="267"/>
      <c r="F7" s="267"/>
      <c r="G7" s="267"/>
      <c r="H7" s="267"/>
      <c r="I7" s="267"/>
      <c r="J7" s="267"/>
      <c r="K7" s="268"/>
      <c r="L7" s="58" t="s">
        <v>8</v>
      </c>
    </row>
    <row r="8" spans="1:13" ht="24" x14ac:dyDescent="0.15">
      <c r="A8" s="51" t="s">
        <v>11</v>
      </c>
      <c r="B8" s="269" t="s">
        <v>91</v>
      </c>
      <c r="C8" s="264"/>
      <c r="D8" s="264"/>
      <c r="E8" s="264"/>
      <c r="F8" s="264"/>
      <c r="G8" s="264"/>
      <c r="H8" s="264"/>
      <c r="I8" s="264"/>
      <c r="J8" s="264"/>
      <c r="K8" s="265"/>
      <c r="L8" s="58" t="s">
        <v>8</v>
      </c>
    </row>
    <row r="9" spans="1:13" x14ac:dyDescent="0.15">
      <c r="A9" s="53"/>
      <c r="B9" s="52"/>
      <c r="C9" s="52"/>
      <c r="D9" s="52"/>
      <c r="E9" s="52"/>
      <c r="F9" s="52"/>
      <c r="G9" s="52"/>
      <c r="H9" s="52"/>
      <c r="I9" s="52"/>
      <c r="J9" s="52"/>
      <c r="K9" s="59"/>
    </row>
    <row r="10" spans="1:13" ht="24" x14ac:dyDescent="0.15">
      <c r="A10" s="266" t="s">
        <v>14</v>
      </c>
      <c r="B10" s="267"/>
      <c r="C10" s="267"/>
      <c r="D10" s="267"/>
      <c r="E10" s="267"/>
      <c r="F10" s="267"/>
      <c r="G10" s="267"/>
      <c r="H10" s="267"/>
      <c r="I10" s="267"/>
      <c r="J10" s="267"/>
      <c r="K10" s="268"/>
      <c r="L10" s="58" t="s">
        <v>8</v>
      </c>
    </row>
    <row r="11" spans="1:13" ht="20.25" customHeight="1" x14ac:dyDescent="0.15">
      <c r="A11" s="51" t="s">
        <v>11</v>
      </c>
      <c r="B11" s="264" t="s">
        <v>15</v>
      </c>
      <c r="C11" s="264"/>
      <c r="D11" s="264"/>
      <c r="E11" s="264"/>
      <c r="F11" s="264"/>
      <c r="G11" s="264"/>
      <c r="H11" s="264"/>
      <c r="I11" s="264"/>
      <c r="J11" s="264"/>
      <c r="K11" s="265"/>
      <c r="L11" s="58" t="s">
        <v>8</v>
      </c>
    </row>
    <row r="12" spans="1:13" x14ac:dyDescent="0.15">
      <c r="A12" s="53"/>
      <c r="B12" s="264"/>
      <c r="C12" s="264"/>
      <c r="D12" s="264"/>
      <c r="E12" s="264"/>
      <c r="F12" s="264"/>
      <c r="G12" s="264"/>
      <c r="H12" s="264"/>
      <c r="I12" s="264"/>
      <c r="J12" s="264"/>
      <c r="K12" s="265"/>
    </row>
    <row r="13" spans="1:13" ht="24" x14ac:dyDescent="0.15">
      <c r="A13" s="274" t="s">
        <v>16</v>
      </c>
      <c r="B13" s="275"/>
      <c r="C13" s="275"/>
      <c r="D13" s="275"/>
      <c r="E13" s="275"/>
      <c r="F13" s="275"/>
      <c r="G13" s="275"/>
      <c r="H13" s="275"/>
      <c r="I13" s="275"/>
      <c r="J13" s="275"/>
      <c r="K13" s="276"/>
      <c r="L13" s="58" t="s">
        <v>8</v>
      </c>
    </row>
    <row r="14" spans="1:13" ht="75.95" customHeight="1" x14ac:dyDescent="0.15">
      <c r="A14" s="51" t="s">
        <v>11</v>
      </c>
      <c r="B14" s="264" t="s">
        <v>17</v>
      </c>
      <c r="C14" s="264"/>
      <c r="D14" s="264"/>
      <c r="E14" s="264"/>
      <c r="F14" s="264"/>
      <c r="G14" s="264"/>
      <c r="H14" s="264"/>
      <c r="I14" s="264"/>
      <c r="J14" s="264"/>
      <c r="K14" s="265"/>
      <c r="L14" s="58" t="s">
        <v>8</v>
      </c>
      <c r="M14"/>
    </row>
    <row r="15" spans="1:13" ht="30" customHeight="1" x14ac:dyDescent="0.15">
      <c r="A15" s="51" t="s">
        <v>18</v>
      </c>
      <c r="B15" s="264" t="s">
        <v>19</v>
      </c>
      <c r="C15" s="264"/>
      <c r="D15" s="264"/>
      <c r="E15" s="264"/>
      <c r="F15" s="264"/>
      <c r="G15" s="264"/>
      <c r="H15" s="264"/>
      <c r="I15" s="264"/>
      <c r="J15" s="264"/>
      <c r="K15" s="265"/>
      <c r="L15" s="60" t="s">
        <v>20</v>
      </c>
      <c r="M15"/>
    </row>
    <row r="16" spans="1:13" ht="30" customHeight="1" x14ac:dyDescent="0.15">
      <c r="A16" s="51" t="s">
        <v>21</v>
      </c>
      <c r="B16" s="264" t="s">
        <v>22</v>
      </c>
      <c r="C16" s="264"/>
      <c r="D16" s="264"/>
      <c r="E16" s="264"/>
      <c r="F16" s="264"/>
      <c r="G16" s="264"/>
      <c r="H16" s="264"/>
      <c r="I16" s="264"/>
      <c r="J16" s="264"/>
      <c r="K16" s="265"/>
      <c r="L16" s="60" t="s">
        <v>20</v>
      </c>
      <c r="M16"/>
    </row>
    <row r="17" spans="1:13" ht="42.95" customHeight="1" x14ac:dyDescent="0.15">
      <c r="A17" s="51" t="s">
        <v>23</v>
      </c>
      <c r="B17" s="264" t="s">
        <v>24</v>
      </c>
      <c r="C17" s="264"/>
      <c r="D17" s="264"/>
      <c r="E17" s="264"/>
      <c r="F17" s="264"/>
      <c r="G17" s="264"/>
      <c r="H17" s="264"/>
      <c r="I17" s="264"/>
      <c r="J17" s="264"/>
      <c r="K17" s="265"/>
      <c r="L17" s="58" t="s">
        <v>8</v>
      </c>
      <c r="M17"/>
    </row>
    <row r="18" spans="1:13" ht="24" x14ac:dyDescent="0.15">
      <c r="A18" s="51" t="s">
        <v>25</v>
      </c>
      <c r="B18" s="264" t="s">
        <v>26</v>
      </c>
      <c r="C18" s="264"/>
      <c r="D18" s="264"/>
      <c r="E18" s="264"/>
      <c r="F18" s="264"/>
      <c r="G18" s="264"/>
      <c r="H18" s="264"/>
      <c r="I18" s="264"/>
      <c r="J18" s="264"/>
      <c r="K18" s="265"/>
      <c r="L18" s="58" t="s">
        <v>8</v>
      </c>
      <c r="M18"/>
    </row>
    <row r="19" spans="1:13" ht="63" customHeight="1" x14ac:dyDescent="0.15">
      <c r="A19" s="51" t="s">
        <v>27</v>
      </c>
      <c r="B19" s="264" t="s">
        <v>28</v>
      </c>
      <c r="C19" s="264"/>
      <c r="D19" s="264"/>
      <c r="E19" s="264"/>
      <c r="F19" s="264"/>
      <c r="G19" s="264"/>
      <c r="H19" s="264"/>
      <c r="I19" s="264"/>
      <c r="J19" s="264"/>
      <c r="K19" s="265"/>
      <c r="L19" s="58" t="s">
        <v>8</v>
      </c>
      <c r="M19"/>
    </row>
    <row r="20" spans="1:13" ht="33" customHeight="1" x14ac:dyDescent="0.15">
      <c r="A20" s="51" t="s">
        <v>29</v>
      </c>
      <c r="B20" s="270" t="s">
        <v>30</v>
      </c>
      <c r="C20" s="270"/>
      <c r="D20" s="270"/>
      <c r="E20" s="270"/>
      <c r="F20" s="270"/>
      <c r="G20" s="270"/>
      <c r="H20" s="270"/>
      <c r="I20" s="270"/>
      <c r="J20" s="270"/>
      <c r="K20" s="271"/>
      <c r="L20" s="58"/>
      <c r="M20" s="61"/>
    </row>
    <row r="21" spans="1:13" x14ac:dyDescent="0.15">
      <c r="A21" s="54"/>
      <c r="B21" s="272"/>
      <c r="C21" s="272"/>
      <c r="D21" s="272"/>
      <c r="E21" s="272"/>
      <c r="F21" s="272"/>
      <c r="G21" s="272"/>
      <c r="H21" s="272"/>
      <c r="I21" s="272"/>
      <c r="J21" s="272"/>
      <c r="K21" s="273"/>
    </row>
  </sheetData>
  <mergeCells count="19">
    <mergeCell ref="B18:K18"/>
    <mergeCell ref="B19:K19"/>
    <mergeCell ref="B20:K20"/>
    <mergeCell ref="B21:K21"/>
    <mergeCell ref="A13:K13"/>
    <mergeCell ref="B14:K14"/>
    <mergeCell ref="B15:K15"/>
    <mergeCell ref="B16:K16"/>
    <mergeCell ref="B17:K17"/>
    <mergeCell ref="A7:K7"/>
    <mergeCell ref="B8:K8"/>
    <mergeCell ref="A10:K10"/>
    <mergeCell ref="B11:K11"/>
    <mergeCell ref="B12:K12"/>
    <mergeCell ref="A1:K1"/>
    <mergeCell ref="A2:K2"/>
    <mergeCell ref="A4:K4"/>
    <mergeCell ref="B5:K5"/>
    <mergeCell ref="B6:K6"/>
  </mergeCells>
  <phoneticPr fontId="31" type="noConversion"/>
  <printOptions horizontalCentered="1"/>
  <pageMargins left="0.59055118110236204" right="0.23622047244094499" top="0.74803149606299202" bottom="0.74803149606299202" header="0.27559055118110198" footer="0.27559055118110198"/>
  <pageSetup paperSize="9" scale="76" fitToHeight="0" orientation="portrait" r:id="rId1"/>
  <headerFooter>
    <oddHeader>&amp;R本清单执行期：2018年7月1日至2019年6月30日</oddHeader>
    <oddFooter>&amp;L&amp;10&amp;A&amp;R第&amp;P页，共&amp;N页</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outlinePr summaryBelow="0" summaryRight="0"/>
    <pageSetUpPr fitToPage="1"/>
  </sheetPr>
  <dimension ref="A1:J12"/>
  <sheetViews>
    <sheetView view="pageBreakPreview" zoomScale="115" zoomScaleNormal="100" zoomScaleSheetLayoutView="115" workbookViewId="0">
      <pane xSplit="2" ySplit="6" topLeftCell="C7" activePane="bottomRight" state="frozen"/>
      <selection pane="topRight"/>
      <selection pane="bottomLeft"/>
      <selection pane="bottomRight" activeCell="C21" sqref="C21"/>
    </sheetView>
  </sheetViews>
  <sheetFormatPr defaultColWidth="9" defaultRowHeight="12" x14ac:dyDescent="0.15"/>
  <cols>
    <col min="1" max="1" width="6.75" style="12" customWidth="1"/>
    <col min="2" max="2" width="24" style="12" customWidth="1"/>
    <col min="3" max="4" width="29.125" style="13" customWidth="1"/>
    <col min="5" max="5" width="11.375" style="14" customWidth="1"/>
    <col min="6" max="6" width="6.375" style="15" customWidth="1"/>
    <col min="7" max="7" width="10.25" style="16" customWidth="1"/>
    <col min="8" max="8" width="8.5" style="16" customWidth="1"/>
    <col min="9" max="9" width="10.25" style="16" customWidth="1"/>
    <col min="10" max="10" width="8.5" style="16" customWidth="1"/>
    <col min="11" max="16384" width="9" style="12"/>
  </cols>
  <sheetData>
    <row r="1" spans="1:10" s="10" customFormat="1" ht="69" customHeight="1" x14ac:dyDescent="0.15">
      <c r="A1" s="277" t="s">
        <v>7</v>
      </c>
      <c r="B1" s="277"/>
      <c r="C1" s="277"/>
      <c r="D1" s="277"/>
      <c r="E1" s="277"/>
      <c r="F1" s="17" t="s">
        <v>8</v>
      </c>
      <c r="G1" s="18"/>
      <c r="H1" s="18"/>
      <c r="I1" s="18"/>
      <c r="J1" s="18"/>
    </row>
    <row r="2" spans="1:10" s="10" customFormat="1" ht="30" customHeight="1" x14ac:dyDescent="0.15">
      <c r="A2" s="278" t="s">
        <v>31</v>
      </c>
      <c r="B2" s="278"/>
      <c r="C2" s="278"/>
      <c r="D2" s="278"/>
      <c r="E2" s="278"/>
      <c r="F2" s="17"/>
      <c r="G2" s="18"/>
      <c r="H2" s="18"/>
      <c r="I2" s="18"/>
      <c r="J2" s="18"/>
    </row>
    <row r="3" spans="1:10" x14ac:dyDescent="0.15">
      <c r="A3" s="19"/>
      <c r="B3" s="19"/>
      <c r="C3" s="20"/>
      <c r="D3" s="20"/>
      <c r="E3" s="19"/>
      <c r="F3" s="21"/>
      <c r="G3" s="279" t="s">
        <v>32</v>
      </c>
      <c r="H3" s="279"/>
      <c r="I3" s="279"/>
      <c r="J3" s="279"/>
    </row>
    <row r="4" spans="1:10" s="11" customFormat="1" ht="24" customHeight="1" x14ac:dyDescent="0.15">
      <c r="A4" s="283" t="s">
        <v>33</v>
      </c>
      <c r="B4" s="283" t="s">
        <v>34</v>
      </c>
      <c r="C4" s="280" t="s">
        <v>35</v>
      </c>
      <c r="D4" s="281"/>
      <c r="E4" s="284" t="s">
        <v>36</v>
      </c>
      <c r="F4" s="22"/>
      <c r="G4" s="282" t="s">
        <v>37</v>
      </c>
      <c r="H4" s="282"/>
      <c r="I4" s="282" t="s">
        <v>35</v>
      </c>
      <c r="J4" s="282"/>
    </row>
    <row r="5" spans="1:10" s="11" customFormat="1" ht="24" customHeight="1" x14ac:dyDescent="0.15">
      <c r="A5" s="283"/>
      <c r="B5" s="283"/>
      <c r="C5" s="24" t="s">
        <v>38</v>
      </c>
      <c r="D5" s="24" t="s">
        <v>39</v>
      </c>
      <c r="E5" s="284"/>
      <c r="F5" s="22"/>
      <c r="G5" s="23" t="s">
        <v>38</v>
      </c>
      <c r="H5" s="23" t="s">
        <v>39</v>
      </c>
      <c r="I5" s="23" t="s">
        <v>40</v>
      </c>
      <c r="J5" s="23" t="s">
        <v>41</v>
      </c>
    </row>
    <row r="6" spans="1:10" s="11" customFormat="1" ht="24" customHeight="1" x14ac:dyDescent="0.15">
      <c r="A6" s="283"/>
      <c r="B6" s="283"/>
      <c r="C6" s="24" t="s">
        <v>42</v>
      </c>
      <c r="D6" s="24" t="s">
        <v>43</v>
      </c>
      <c r="E6" s="284"/>
      <c r="F6" s="25"/>
      <c r="G6" s="23" t="s">
        <v>42</v>
      </c>
      <c r="H6" s="23" t="s">
        <v>43</v>
      </c>
      <c r="I6" s="23" t="s">
        <v>42</v>
      </c>
      <c r="J6" s="23" t="s">
        <v>43</v>
      </c>
    </row>
    <row r="7" spans="1:10" s="11" customFormat="1" ht="24" x14ac:dyDescent="0.15">
      <c r="A7" s="26"/>
      <c r="B7" s="27"/>
      <c r="C7" s="28"/>
      <c r="D7" s="28"/>
      <c r="E7" s="29"/>
      <c r="F7" s="30"/>
      <c r="G7" s="31" t="s">
        <v>88</v>
      </c>
      <c r="H7" s="31" t="s">
        <v>88</v>
      </c>
      <c r="I7" s="31" t="str">
        <f>IF(ISBLANK($B7)=TRUE,"",IF(VLOOKUP($B7,#REF!,6,FALSE)=C7,"OK","NOT OK"))</f>
        <v/>
      </c>
      <c r="J7" s="31" t="str">
        <f>IF(ISBLANK($B7)=TRUE,"",IF(VLOOKUP($B7,#REF!,7,FALSE)=D7,"OK","NOT OK"))</f>
        <v/>
      </c>
    </row>
    <row r="8" spans="1:10" s="11" customFormat="1" ht="39.950000000000003" customHeight="1" x14ac:dyDescent="0.15">
      <c r="A8" s="32" t="s">
        <v>44</v>
      </c>
      <c r="B8" s="33" t="s">
        <v>45</v>
      </c>
      <c r="C8" s="34" t="e">
        <f>D8/1.06</f>
        <v>#REF!</v>
      </c>
      <c r="D8" s="34" t="e">
        <f>#REF!</f>
        <v>#REF!</v>
      </c>
      <c r="E8" s="35" t="s">
        <v>8</v>
      </c>
      <c r="F8" s="30"/>
      <c r="G8" s="31" t="e">
        <v>#N/A</v>
      </c>
      <c r="H8" s="31" t="e">
        <v>#N/A</v>
      </c>
      <c r="I8" s="31" t="e">
        <f>IF(ISBLANK($B8)=TRUE,"",IF(VLOOKUP($B8,#REF!,6,FALSE)=C8,"OK","NOT OK"))</f>
        <v>#REF!</v>
      </c>
      <c r="J8" s="31" t="e">
        <f>IF(ISBLANK($B8)=TRUE,"",IF(VLOOKUP($B8,#REF!,7,FALSE)=D8,"OK","NOT OK"))</f>
        <v>#REF!</v>
      </c>
    </row>
    <row r="9" spans="1:10" ht="24" x14ac:dyDescent="0.15">
      <c r="A9" s="36"/>
      <c r="B9" s="37"/>
      <c r="C9" s="38"/>
      <c r="D9" s="38"/>
      <c r="E9" s="39"/>
      <c r="F9" s="40"/>
      <c r="G9" s="31" t="s">
        <v>88</v>
      </c>
      <c r="H9" s="31" t="s">
        <v>88</v>
      </c>
      <c r="I9" s="31" t="str">
        <f>IF(ISBLANK($B9)=TRUE,"",IF(VLOOKUP($B9,#REF!,6,FALSE)=C9,"OK","NOT OK"))</f>
        <v/>
      </c>
      <c r="J9" s="31" t="str">
        <f>IF(ISBLANK($B9)=TRUE,"",IF(VLOOKUP($B9,#REF!,7,FALSE)=D9,"OK","NOT OK"))</f>
        <v/>
      </c>
    </row>
    <row r="10" spans="1:10" s="11" customFormat="1" ht="39.950000000000003" customHeight="1" x14ac:dyDescent="0.15">
      <c r="A10" s="32" t="s">
        <v>46</v>
      </c>
      <c r="B10" s="33" t="s">
        <v>47</v>
      </c>
      <c r="C10" s="34" t="e">
        <f>D10/1.06</f>
        <v>#REF!</v>
      </c>
      <c r="D10" s="34" t="e">
        <f>#REF!</f>
        <v>#REF!</v>
      </c>
      <c r="E10" s="35" t="s">
        <v>8</v>
      </c>
      <c r="F10" s="30"/>
      <c r="G10" s="31" t="e">
        <v>#N/A</v>
      </c>
      <c r="H10" s="31" t="e">
        <v>#N/A</v>
      </c>
      <c r="I10" s="31" t="e">
        <f>IF(ISBLANK($B10)=TRUE,"",IF(VLOOKUP($B10,#REF!,6,FALSE)=C10,"OK","NOT OK"))</f>
        <v>#REF!</v>
      </c>
      <c r="J10" s="31" t="e">
        <f>IF(ISBLANK($B10)=TRUE,"",IF(VLOOKUP($B10,#REF!,7,FALSE)=D10,"OK","NOT OK"))</f>
        <v>#REF!</v>
      </c>
    </row>
    <row r="11" spans="1:10" ht="24" x14ac:dyDescent="0.15">
      <c r="A11" s="36"/>
      <c r="B11" s="37"/>
      <c r="C11" s="38"/>
      <c r="D11" s="38"/>
      <c r="E11" s="39"/>
      <c r="F11" s="40"/>
      <c r="G11" s="31" t="s">
        <v>88</v>
      </c>
      <c r="H11" s="31" t="s">
        <v>88</v>
      </c>
      <c r="I11" s="31" t="str">
        <f>IF(ISBLANK($B11)=TRUE,"",IF(VLOOKUP($B11,#REF!,6,FALSE)=C11,"OK","NOT OK"))</f>
        <v/>
      </c>
      <c r="J11" s="31" t="str">
        <f>IF(ISBLANK($B11)=TRUE,"",IF(VLOOKUP($B11,#REF!,7,FALSE)=D11,"OK","NOT OK"))</f>
        <v/>
      </c>
    </row>
    <row r="12" spans="1:10" ht="39.950000000000003" customHeight="1" x14ac:dyDescent="0.15">
      <c r="A12" s="41" t="s">
        <v>48</v>
      </c>
      <c r="B12" s="41" t="s">
        <v>49</v>
      </c>
      <c r="C12" s="42" t="e">
        <f>SUBTOTAL(9,C7:C11)</f>
        <v>#REF!</v>
      </c>
      <c r="D12" s="42" t="e">
        <f>SUBTOTAL(9,D7:D11)</f>
        <v>#REF!</v>
      </c>
      <c r="E12" s="43" t="s">
        <v>8</v>
      </c>
      <c r="F12" s="44"/>
      <c r="G12" s="31" t="e">
        <v>#REF!</v>
      </c>
      <c r="H12" s="31" t="e">
        <v>#REF!</v>
      </c>
      <c r="I12" s="31" t="e">
        <f>IF(ISBLANK($B12)=TRUE,"",IF(VLOOKUP($B12,#REF!,6,FALSE)=C12,"OK","NOT OK"))</f>
        <v>#REF!</v>
      </c>
      <c r="J12" s="31" t="e">
        <f>IF(ISBLANK($B12)=TRUE,"",IF(VLOOKUP($B12,#REF!,7,FALSE)=D12,"OK","NOT OK"))</f>
        <v>#REF!</v>
      </c>
    </row>
  </sheetData>
  <mergeCells count="9">
    <mergeCell ref="A1:E1"/>
    <mergeCell ref="A2:E2"/>
    <mergeCell ref="G3:J3"/>
    <mergeCell ref="C4:D4"/>
    <mergeCell ref="G4:H4"/>
    <mergeCell ref="I4:J4"/>
    <mergeCell ref="A4:A6"/>
    <mergeCell ref="B4:B6"/>
    <mergeCell ref="E4:E6"/>
  </mergeCells>
  <phoneticPr fontId="31" type="noConversion"/>
  <printOptions horizontalCentered="1"/>
  <pageMargins left="0.59055118110236204" right="0.23622047244094499" top="0.74803149606299202" bottom="0.74803149606299202" header="0.27559055118110198" footer="0.27559055118110198"/>
  <pageSetup paperSize="9" scale="83" orientation="landscape" r:id="rId1"/>
  <headerFooter>
    <oddHeader>&amp;L&amp;10&amp;G&amp;R本清单执行期：2018年7月1日至2019年6月30日</oddHeader>
    <oddFooter>&amp;L&amp;10&amp;A&amp;R第&amp;P页，共&amp;N页</oddFooter>
  </headerFooter>
  <legacyDrawingHF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pageSetUpPr fitToPage="1"/>
  </sheetPr>
  <dimension ref="A1:G21"/>
  <sheetViews>
    <sheetView tabSelected="1" view="pageBreakPreview" zoomScale="85" zoomScaleNormal="100" zoomScaleSheetLayoutView="85" workbookViewId="0">
      <selection activeCell="C14" sqref="C14"/>
    </sheetView>
  </sheetViews>
  <sheetFormatPr defaultColWidth="9" defaultRowHeight="13.5" x14ac:dyDescent="0.15"/>
  <cols>
    <col min="1" max="1" width="12.5" style="182" customWidth="1"/>
    <col min="2" max="2" width="43.5" customWidth="1"/>
    <col min="3" max="3" width="38.75" customWidth="1"/>
    <col min="4" max="4" width="24.25" customWidth="1"/>
    <col min="5" max="5" width="39.5" customWidth="1"/>
    <col min="6" max="6" width="19.75" style="76" customWidth="1"/>
    <col min="7" max="7" width="42.625" customWidth="1"/>
  </cols>
  <sheetData>
    <row r="1" spans="1:7" ht="59.25" customHeight="1" thickBot="1" x14ac:dyDescent="0.2">
      <c r="A1" s="285" t="s">
        <v>193</v>
      </c>
      <c r="B1" s="285"/>
      <c r="C1" s="285"/>
      <c r="D1" s="285"/>
      <c r="E1" s="285"/>
      <c r="F1" s="285"/>
      <c r="G1" s="285"/>
    </row>
    <row r="2" spans="1:7" ht="24.75" customHeight="1" x14ac:dyDescent="0.15">
      <c r="A2" s="179" t="s">
        <v>44</v>
      </c>
      <c r="B2" s="176" t="s">
        <v>50</v>
      </c>
      <c r="C2" s="176" t="s">
        <v>51</v>
      </c>
      <c r="D2" s="177" t="s">
        <v>189</v>
      </c>
      <c r="E2" s="177" t="s">
        <v>52</v>
      </c>
      <c r="F2" s="173" t="s">
        <v>53</v>
      </c>
      <c r="G2" s="5" t="s">
        <v>36</v>
      </c>
    </row>
    <row r="3" spans="1:7" ht="24.75" customHeight="1" x14ac:dyDescent="0.15">
      <c r="A3" s="195"/>
      <c r="B3" s="196" t="s">
        <v>186</v>
      </c>
      <c r="C3" s="196"/>
      <c r="D3" s="197"/>
      <c r="E3" s="197"/>
      <c r="F3" s="198"/>
      <c r="G3" s="199"/>
    </row>
    <row r="4" spans="1:7" s="190" customFormat="1" ht="24.75" customHeight="1" x14ac:dyDescent="0.15">
      <c r="A4" s="183">
        <v>1</v>
      </c>
      <c r="B4" s="184" t="s">
        <v>194</v>
      </c>
      <c r="C4" s="185" t="s">
        <v>54</v>
      </c>
      <c r="D4" s="186">
        <v>1</v>
      </c>
      <c r="E4" s="187">
        <f>工程量计算式!D23</f>
        <v>122415.85</v>
      </c>
      <c r="F4" s="188">
        <f>ROUND(D4*E4,2)</f>
        <v>122415.85</v>
      </c>
      <c r="G4" s="189"/>
    </row>
    <row r="5" spans="1:7" s="190" customFormat="1" ht="24.75" customHeight="1" x14ac:dyDescent="0.15">
      <c r="A5" s="183">
        <v>2</v>
      </c>
      <c r="B5" s="184" t="s">
        <v>195</v>
      </c>
      <c r="C5" s="184" t="s">
        <v>55</v>
      </c>
      <c r="D5" s="191">
        <v>2.2000000000000002</v>
      </c>
      <c r="E5" s="187">
        <f>工程量计算式!C23</f>
        <v>199065.48</v>
      </c>
      <c r="F5" s="188">
        <f>ROUND(D5*E5,2)</f>
        <v>437944.06</v>
      </c>
      <c r="G5" s="189"/>
    </row>
    <row r="6" spans="1:7" s="190" customFormat="1" ht="24.75" customHeight="1" x14ac:dyDescent="0.15">
      <c r="A6" s="183"/>
      <c r="B6" s="184"/>
      <c r="C6" s="184"/>
      <c r="D6" s="191"/>
      <c r="E6" s="187"/>
      <c r="F6" s="193">
        <f>SUM(F4:F5)</f>
        <v>560359.91</v>
      </c>
      <c r="G6" s="189"/>
    </row>
    <row r="7" spans="1:7" ht="24.75" customHeight="1" x14ac:dyDescent="0.15">
      <c r="A7" s="195"/>
      <c r="B7" s="196" t="s">
        <v>187</v>
      </c>
      <c r="C7" s="196"/>
      <c r="D7" s="197"/>
      <c r="E7" s="197"/>
      <c r="F7" s="198"/>
      <c r="G7" s="199"/>
    </row>
    <row r="8" spans="1:7" s="190" customFormat="1" ht="38.25" customHeight="1" x14ac:dyDescent="0.15">
      <c r="A8" s="183">
        <v>1</v>
      </c>
      <c r="B8" s="184" t="s">
        <v>180</v>
      </c>
      <c r="C8" s="192" t="s">
        <v>179</v>
      </c>
      <c r="D8" s="191">
        <f>+'区采 表4.1 综合单价清单'!H12</f>
        <v>2.4772199999999995</v>
      </c>
      <c r="E8" s="187">
        <f>+'区采 表4.1 综合单价清单'!F12</f>
        <v>197402.06</v>
      </c>
      <c r="F8" s="188">
        <f>ROUND(D8*E8*0.4,2)</f>
        <v>195603.33</v>
      </c>
      <c r="G8" s="189"/>
    </row>
    <row r="9" spans="1:7" s="190" customFormat="1" ht="30.75" customHeight="1" x14ac:dyDescent="0.15">
      <c r="A9" s="183">
        <v>2</v>
      </c>
      <c r="B9" s="184" t="s">
        <v>181</v>
      </c>
      <c r="C9" s="192" t="s">
        <v>179</v>
      </c>
      <c r="D9" s="191">
        <f>+'区采 表4.1 综合单价清单'!H18</f>
        <v>4.9544399999999991</v>
      </c>
      <c r="E9" s="187">
        <f>+'区采 表4.1 综合单价清单'!F18</f>
        <v>1663.42</v>
      </c>
      <c r="F9" s="188">
        <f>ROUND(D9*E9*0.4,2)</f>
        <v>3296.53</v>
      </c>
      <c r="G9" s="189"/>
    </row>
    <row r="10" spans="1:7" s="190" customFormat="1" ht="30.75" customHeight="1" x14ac:dyDescent="0.15">
      <c r="A10" s="183"/>
      <c r="B10" s="184"/>
      <c r="C10" s="192"/>
      <c r="D10" s="191"/>
      <c r="E10" s="187"/>
      <c r="F10" s="193">
        <f>SUM(F8:F9)</f>
        <v>198899.86</v>
      </c>
      <c r="G10" s="189"/>
    </row>
    <row r="11" spans="1:7" ht="30.75" customHeight="1" x14ac:dyDescent="0.15">
      <c r="A11" s="195"/>
      <c r="B11" s="196" t="s">
        <v>188</v>
      </c>
      <c r="C11" s="196"/>
      <c r="D11" s="197"/>
      <c r="E11" s="197"/>
      <c r="F11" s="198"/>
      <c r="G11" s="199"/>
    </row>
    <row r="12" spans="1:7" s="190" customFormat="1" ht="30.75" customHeight="1" x14ac:dyDescent="0.15">
      <c r="A12" s="183">
        <v>1</v>
      </c>
      <c r="B12" s="184" t="s">
        <v>180</v>
      </c>
      <c r="C12" s="192" t="s">
        <v>182</v>
      </c>
      <c r="D12" s="191">
        <f>+'区采 表4.1 综合单价清单'!H12</f>
        <v>2.4772199999999995</v>
      </c>
      <c r="E12" s="187">
        <f>+E8</f>
        <v>197402.06</v>
      </c>
      <c r="F12" s="188">
        <f>ROUND(D12*E12,2)</f>
        <v>489008.33</v>
      </c>
      <c r="G12" s="189"/>
    </row>
    <row r="13" spans="1:7" s="190" customFormat="1" ht="30.75" customHeight="1" x14ac:dyDescent="0.15">
      <c r="A13" s="183">
        <v>2</v>
      </c>
      <c r="B13" s="184" t="s">
        <v>181</v>
      </c>
      <c r="C13" s="192" t="s">
        <v>183</v>
      </c>
      <c r="D13" s="191">
        <f>+'区采 表4.1 综合单价清单'!H18</f>
        <v>4.9544399999999991</v>
      </c>
      <c r="E13" s="187">
        <f>+E9</f>
        <v>1663.42</v>
      </c>
      <c r="F13" s="188">
        <f>ROUND(D13*E13,2)</f>
        <v>8241.31</v>
      </c>
      <c r="G13" s="189"/>
    </row>
    <row r="14" spans="1:7" s="190" customFormat="1" ht="30.75" customHeight="1" x14ac:dyDescent="0.15">
      <c r="A14" s="183"/>
      <c r="B14" s="184"/>
      <c r="C14" s="192"/>
      <c r="D14" s="191"/>
      <c r="E14" s="187"/>
      <c r="F14" s="193">
        <f>SUM(F12:F13)</f>
        <v>497249.64</v>
      </c>
      <c r="G14" s="189"/>
    </row>
    <row r="15" spans="1:7" ht="24.75" customHeight="1" x14ac:dyDescent="0.15">
      <c r="A15" s="181" t="s">
        <v>46</v>
      </c>
      <c r="B15" s="178" t="s">
        <v>47</v>
      </c>
      <c r="C15" s="178" t="s">
        <v>51</v>
      </c>
      <c r="D15" s="178" t="s">
        <v>56</v>
      </c>
      <c r="E15" s="8" t="s">
        <v>57</v>
      </c>
      <c r="F15" s="174" t="s">
        <v>58</v>
      </c>
      <c r="G15" s="7"/>
    </row>
    <row r="16" spans="1:7" ht="34.5" customHeight="1" x14ac:dyDescent="0.15">
      <c r="A16" s="180">
        <v>1</v>
      </c>
      <c r="B16" s="6" t="s">
        <v>185</v>
      </c>
      <c r="C16" s="6" t="s">
        <v>191</v>
      </c>
      <c r="D16" s="9">
        <f>2.5/19.07*199065.48</f>
        <v>26096.680650235976</v>
      </c>
      <c r="E16" s="207">
        <v>25</v>
      </c>
      <c r="F16" s="194">
        <f>ROUND(D16*E16,2)</f>
        <v>652417.02</v>
      </c>
      <c r="G16" s="286" t="s">
        <v>197</v>
      </c>
    </row>
    <row r="17" spans="1:7" ht="51.75" customHeight="1" x14ac:dyDescent="0.15">
      <c r="A17" s="180">
        <v>2</v>
      </c>
      <c r="B17" s="6" t="s">
        <v>59</v>
      </c>
      <c r="C17" s="6" t="s">
        <v>192</v>
      </c>
      <c r="D17" s="200" t="s">
        <v>177</v>
      </c>
      <c r="E17" s="208" t="s">
        <v>178</v>
      </c>
      <c r="F17" s="194">
        <f>6*D16+19*10000</f>
        <v>346580.08390141587</v>
      </c>
      <c r="G17" s="286"/>
    </row>
    <row r="18" spans="1:7" ht="34.5" customHeight="1" thickBot="1" x14ac:dyDescent="0.2">
      <c r="A18" s="201">
        <v>3</v>
      </c>
      <c r="B18" s="202" t="s">
        <v>59</v>
      </c>
      <c r="C18" s="202" t="s">
        <v>184</v>
      </c>
      <c r="D18" s="203" t="s">
        <v>177</v>
      </c>
      <c r="E18" s="209" t="s">
        <v>190</v>
      </c>
      <c r="F18" s="206">
        <f>19*D16+6*10000</f>
        <v>555836.93235448352</v>
      </c>
      <c r="G18" s="287"/>
    </row>
    <row r="20" spans="1:7" s="205" customFormat="1" x14ac:dyDescent="0.15">
      <c r="A20" s="204" t="s">
        <v>198</v>
      </c>
      <c r="F20" s="175"/>
    </row>
    <row r="21" spans="1:7" x14ac:dyDescent="0.15">
      <c r="F21" s="76">
        <f>+F6+F16</f>
        <v>1212776.9300000002</v>
      </c>
    </row>
  </sheetData>
  <mergeCells count="2">
    <mergeCell ref="A1:G1"/>
    <mergeCell ref="G16:G18"/>
  </mergeCells>
  <phoneticPr fontId="31" type="noConversion"/>
  <pageMargins left="0.7" right="0.7" top="0.75" bottom="0.75" header="0.3" footer="0.3"/>
  <pageSetup paperSize="9" scale="3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3"/>
  <sheetViews>
    <sheetView workbookViewId="0">
      <selection activeCell="I10" sqref="I10"/>
    </sheetView>
  </sheetViews>
  <sheetFormatPr defaultColWidth="9" defaultRowHeight="13.5" x14ac:dyDescent="0.15"/>
  <cols>
    <col min="2" max="2" width="17" customWidth="1"/>
    <col min="3" max="3" width="13.5" style="76" customWidth="1"/>
    <col min="4" max="4" width="17.75" style="76" customWidth="1"/>
    <col min="5" max="5" width="17.875" style="76" customWidth="1"/>
    <col min="6" max="6" width="18.125" customWidth="1"/>
  </cols>
  <sheetData>
    <row r="1" spans="1:6" ht="21.75" customHeight="1" x14ac:dyDescent="0.15">
      <c r="A1" s="288" t="s">
        <v>196</v>
      </c>
      <c r="B1" s="288"/>
      <c r="C1" s="288"/>
      <c r="D1" s="288"/>
      <c r="E1" s="288"/>
      <c r="F1" s="288"/>
    </row>
    <row r="2" spans="1:6" ht="26.25" customHeight="1" x14ac:dyDescent="0.15">
      <c r="A2" s="1" t="s">
        <v>33</v>
      </c>
      <c r="B2" s="1" t="s">
        <v>61</v>
      </c>
      <c r="C2" s="289" t="s">
        <v>62</v>
      </c>
      <c r="D2" s="289" t="s">
        <v>63</v>
      </c>
      <c r="E2" s="289" t="s">
        <v>64</v>
      </c>
      <c r="F2" s="1" t="s">
        <v>36</v>
      </c>
    </row>
    <row r="3" spans="1:6" ht="25.5" customHeight="1" x14ac:dyDescent="0.15">
      <c r="A3" s="2">
        <v>1</v>
      </c>
      <c r="B3" s="3" t="s">
        <v>65</v>
      </c>
      <c r="C3" s="290">
        <v>629.69000000000005</v>
      </c>
      <c r="D3" s="291">
        <f>C3</f>
        <v>629.69000000000005</v>
      </c>
      <c r="E3" s="291">
        <f>C3-D3</f>
        <v>0</v>
      </c>
      <c r="F3" s="4"/>
    </row>
    <row r="4" spans="1:6" ht="25.5" customHeight="1" x14ac:dyDescent="0.15">
      <c r="A4" s="2">
        <v>2</v>
      </c>
      <c r="B4" s="3" t="s">
        <v>66</v>
      </c>
      <c r="C4" s="290">
        <v>15057.24</v>
      </c>
      <c r="D4" s="291">
        <f>134.19+512.73*27</f>
        <v>13977.900000000001</v>
      </c>
      <c r="E4" s="291">
        <f t="shared" ref="E4:E21" si="0">C4-D4</f>
        <v>1079.3399999999983</v>
      </c>
      <c r="F4" s="74" t="s">
        <v>85</v>
      </c>
    </row>
    <row r="5" spans="1:6" ht="25.5" customHeight="1" x14ac:dyDescent="0.15">
      <c r="A5" s="2">
        <v>3</v>
      </c>
      <c r="B5" s="3" t="s">
        <v>67</v>
      </c>
      <c r="C5" s="290">
        <v>2655.32</v>
      </c>
      <c r="D5" s="291">
        <f>C5</f>
        <v>2655.32</v>
      </c>
      <c r="E5" s="291">
        <f t="shared" si="0"/>
        <v>0</v>
      </c>
      <c r="F5" s="4"/>
    </row>
    <row r="6" spans="1:6" ht="25.5" customHeight="1" x14ac:dyDescent="0.15">
      <c r="A6" s="2">
        <v>4</v>
      </c>
      <c r="B6" s="3" t="s">
        <v>68</v>
      </c>
      <c r="C6" s="290">
        <v>10981.38</v>
      </c>
      <c r="D6" s="291">
        <f>C6</f>
        <v>10981.38</v>
      </c>
      <c r="E6" s="291">
        <f t="shared" si="0"/>
        <v>0</v>
      </c>
      <c r="F6" s="4"/>
    </row>
    <row r="7" spans="1:6" ht="25.5" customHeight="1" x14ac:dyDescent="0.15">
      <c r="A7" s="2">
        <v>5</v>
      </c>
      <c r="B7" s="3" t="s">
        <v>69</v>
      </c>
      <c r="C7" s="290">
        <v>10051.719999999999</v>
      </c>
      <c r="D7" s="291">
        <f>C7-101.24</f>
        <v>9950.48</v>
      </c>
      <c r="E7" s="291">
        <f t="shared" si="0"/>
        <v>101.23999999999978</v>
      </c>
      <c r="F7" s="74" t="s">
        <v>86</v>
      </c>
    </row>
    <row r="8" spans="1:6" ht="25.5" customHeight="1" x14ac:dyDescent="0.15">
      <c r="A8" s="2">
        <v>6</v>
      </c>
      <c r="B8" s="3" t="s">
        <v>70</v>
      </c>
      <c r="C8" s="290">
        <v>1284.33</v>
      </c>
      <c r="D8" s="291">
        <f>C8</f>
        <v>1284.33</v>
      </c>
      <c r="E8" s="291">
        <f t="shared" si="0"/>
        <v>0</v>
      </c>
      <c r="F8" s="4"/>
    </row>
    <row r="9" spans="1:6" ht="25.5" customHeight="1" x14ac:dyDescent="0.15">
      <c r="A9" s="2">
        <v>7</v>
      </c>
      <c r="B9" s="3" t="s">
        <v>71</v>
      </c>
      <c r="C9" s="290">
        <v>45432.46</v>
      </c>
      <c r="D9" s="291">
        <f>302.22+1663.34*17</f>
        <v>28579</v>
      </c>
      <c r="E9" s="291">
        <f t="shared" si="0"/>
        <v>16853.46</v>
      </c>
      <c r="F9" s="74" t="s">
        <v>87</v>
      </c>
    </row>
    <row r="10" spans="1:6" ht="25.5" customHeight="1" x14ac:dyDescent="0.15">
      <c r="A10" s="2">
        <v>8</v>
      </c>
      <c r="B10" s="3" t="s">
        <v>72</v>
      </c>
      <c r="C10" s="290">
        <v>515.62</v>
      </c>
      <c r="D10" s="291">
        <v>0</v>
      </c>
      <c r="E10" s="291">
        <f t="shared" si="0"/>
        <v>515.62</v>
      </c>
      <c r="F10" s="4"/>
    </row>
    <row r="11" spans="1:6" ht="25.5" customHeight="1" x14ac:dyDescent="0.15">
      <c r="A11" s="2">
        <v>9</v>
      </c>
      <c r="B11" s="3" t="s">
        <v>73</v>
      </c>
      <c r="C11" s="290">
        <v>13599</v>
      </c>
      <c r="D11" s="291">
        <v>0</v>
      </c>
      <c r="E11" s="291">
        <f t="shared" si="0"/>
        <v>13599</v>
      </c>
      <c r="F11" s="4"/>
    </row>
    <row r="12" spans="1:6" ht="25.5" customHeight="1" x14ac:dyDescent="0.15">
      <c r="A12" s="2">
        <v>10</v>
      </c>
      <c r="B12" s="3" t="s">
        <v>74</v>
      </c>
      <c r="C12" s="290">
        <v>422.93</v>
      </c>
      <c r="D12" s="291">
        <v>0</v>
      </c>
      <c r="E12" s="291">
        <f t="shared" si="0"/>
        <v>422.93</v>
      </c>
      <c r="F12" s="4"/>
    </row>
    <row r="13" spans="1:6" ht="25.5" customHeight="1" x14ac:dyDescent="0.15">
      <c r="A13" s="2">
        <v>11</v>
      </c>
      <c r="B13" s="3" t="s">
        <v>75</v>
      </c>
      <c r="C13" s="290">
        <v>13597.21</v>
      </c>
      <c r="D13" s="291">
        <v>0</v>
      </c>
      <c r="E13" s="291">
        <f t="shared" si="0"/>
        <v>13597.21</v>
      </c>
      <c r="F13" s="4"/>
    </row>
    <row r="14" spans="1:6" ht="25.5" customHeight="1" x14ac:dyDescent="0.15">
      <c r="A14" s="2">
        <v>12</v>
      </c>
      <c r="B14" s="3" t="s">
        <v>76</v>
      </c>
      <c r="C14" s="290">
        <v>654.13</v>
      </c>
      <c r="D14" s="291">
        <v>0</v>
      </c>
      <c r="E14" s="291">
        <f t="shared" si="0"/>
        <v>654.13</v>
      </c>
      <c r="F14" s="4"/>
    </row>
    <row r="15" spans="1:6" ht="25.5" customHeight="1" x14ac:dyDescent="0.15">
      <c r="A15" s="2">
        <v>13</v>
      </c>
      <c r="B15" s="3" t="s">
        <v>77</v>
      </c>
      <c r="C15" s="290">
        <v>2472.2600000000002</v>
      </c>
      <c r="D15" s="291">
        <v>0</v>
      </c>
      <c r="E15" s="291">
        <f t="shared" si="0"/>
        <v>2472.2600000000002</v>
      </c>
      <c r="F15" s="4"/>
    </row>
    <row r="16" spans="1:6" ht="25.5" customHeight="1" x14ac:dyDescent="0.15">
      <c r="A16" s="2">
        <v>14</v>
      </c>
      <c r="B16" s="3" t="s">
        <v>78</v>
      </c>
      <c r="C16" s="290">
        <v>409.87</v>
      </c>
      <c r="D16" s="291">
        <v>0</v>
      </c>
      <c r="E16" s="291">
        <f t="shared" si="0"/>
        <v>409.87</v>
      </c>
      <c r="F16" s="4"/>
    </row>
    <row r="17" spans="1:6" ht="25.5" customHeight="1" x14ac:dyDescent="0.15">
      <c r="A17" s="2">
        <v>15</v>
      </c>
      <c r="B17" s="3" t="s">
        <v>79</v>
      </c>
      <c r="C17" s="290">
        <v>13597.46</v>
      </c>
      <c r="D17" s="291">
        <v>0</v>
      </c>
      <c r="E17" s="291">
        <f t="shared" si="0"/>
        <v>13597.46</v>
      </c>
      <c r="F17" s="4"/>
    </row>
    <row r="18" spans="1:6" ht="25.5" customHeight="1" x14ac:dyDescent="0.15">
      <c r="A18" s="2">
        <v>16</v>
      </c>
      <c r="B18" s="3" t="s">
        <v>80</v>
      </c>
      <c r="C18" s="290">
        <v>1054.32</v>
      </c>
      <c r="D18" s="291">
        <v>0</v>
      </c>
      <c r="E18" s="291">
        <f t="shared" si="0"/>
        <v>1054.32</v>
      </c>
      <c r="F18" s="4"/>
    </row>
    <row r="19" spans="1:6" ht="25.5" customHeight="1" x14ac:dyDescent="0.15">
      <c r="A19" s="2">
        <v>17</v>
      </c>
      <c r="B19" s="3" t="s">
        <v>81</v>
      </c>
      <c r="C19" s="290">
        <v>480.61</v>
      </c>
      <c r="D19" s="291">
        <f>C19</f>
        <v>480.61</v>
      </c>
      <c r="E19" s="291">
        <f t="shared" si="0"/>
        <v>0</v>
      </c>
      <c r="F19" s="4"/>
    </row>
    <row r="20" spans="1:6" ht="25.5" customHeight="1" x14ac:dyDescent="0.15">
      <c r="A20" s="2">
        <v>18</v>
      </c>
      <c r="B20" s="3" t="s">
        <v>82</v>
      </c>
      <c r="C20" s="290">
        <v>15425.85</v>
      </c>
      <c r="D20" s="291">
        <f>135.41+383.58+512.17*11</f>
        <v>6152.86</v>
      </c>
      <c r="E20" s="291">
        <f t="shared" si="0"/>
        <v>9272.9900000000016</v>
      </c>
      <c r="F20" s="74" t="s">
        <v>89</v>
      </c>
    </row>
    <row r="21" spans="1:6" ht="25.5" customHeight="1" x14ac:dyDescent="0.15">
      <c r="A21" s="2">
        <v>19</v>
      </c>
      <c r="B21" s="3" t="s">
        <v>83</v>
      </c>
      <c r="C21" s="290">
        <v>1663.42</v>
      </c>
      <c r="D21" s="291">
        <f>C21</f>
        <v>1663.42</v>
      </c>
      <c r="E21" s="291">
        <f t="shared" si="0"/>
        <v>0</v>
      </c>
      <c r="F21" s="4"/>
    </row>
    <row r="22" spans="1:6" ht="25.5" customHeight="1" x14ac:dyDescent="0.15">
      <c r="A22" s="2">
        <v>20</v>
      </c>
      <c r="B22" s="3" t="s">
        <v>84</v>
      </c>
      <c r="C22" s="290">
        <v>49080.66</v>
      </c>
      <c r="D22" s="291">
        <f>C22-E22</f>
        <v>46060.86</v>
      </c>
      <c r="E22" s="291">
        <f>1509.9*2</f>
        <v>3019.8</v>
      </c>
      <c r="F22" s="75" t="s">
        <v>90</v>
      </c>
    </row>
    <row r="23" spans="1:6" ht="25.5" customHeight="1" x14ac:dyDescent="0.15">
      <c r="A23" s="4">
        <v>21</v>
      </c>
      <c r="B23" s="4" t="s">
        <v>48</v>
      </c>
      <c r="C23" s="291">
        <f>SUM(C3:C22)</f>
        <v>199065.48</v>
      </c>
      <c r="D23" s="291">
        <f t="shared" ref="D23:E23" si="1">SUM(D3:D22)</f>
        <v>122415.85</v>
      </c>
      <c r="E23" s="291">
        <f t="shared" si="1"/>
        <v>76649.63</v>
      </c>
      <c r="F23" s="4"/>
    </row>
  </sheetData>
  <mergeCells count="1">
    <mergeCell ref="A1:F1"/>
  </mergeCells>
  <phoneticPr fontId="31"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8</vt:i4>
      </vt:variant>
    </vt:vector>
  </HeadingPairs>
  <TitlesOfParts>
    <vt:vector size="15" baseType="lpstr">
      <vt:lpstr>区采 表4.1 综合单价清单</vt:lpstr>
      <vt:lpstr>表2 编制说明</vt:lpstr>
      <vt:lpstr>封面</vt:lpstr>
      <vt:lpstr>编制说明</vt:lpstr>
      <vt:lpstr>表3 汇总表</vt:lpstr>
      <vt:lpstr>计价表（模板）</vt:lpstr>
      <vt:lpstr>工程量计算式</vt:lpstr>
      <vt:lpstr>编制说明!Print_Area</vt:lpstr>
      <vt:lpstr>'表2 编制说明'!Print_Area</vt:lpstr>
      <vt:lpstr>'表3 汇总表'!Print_Area</vt:lpstr>
      <vt:lpstr>封面!Print_Area</vt:lpstr>
      <vt:lpstr>'计价表（模板）'!Print_Area</vt:lpstr>
      <vt:lpstr>'区采 表4.1 综合单价清单'!Print_Area</vt:lpstr>
      <vt:lpstr>'表3 汇总表'!Print_Titles</vt:lpstr>
      <vt:lpstr>'区采 表4.1 综合单价清单'!Print_Titles</vt:lpstr>
    </vt:vector>
  </TitlesOfParts>
  <Company>china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China</cp:lastModifiedBy>
  <cp:lastPrinted>2019-10-17T01:48:00Z</cp:lastPrinted>
  <dcterms:created xsi:type="dcterms:W3CDTF">2019-03-27T01:51:00Z</dcterms:created>
  <dcterms:modified xsi:type="dcterms:W3CDTF">2020-06-08T03:06:54Z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2052-11.1.0.9209</vt:lpwstr>
  </property>
</Properties>
</file>