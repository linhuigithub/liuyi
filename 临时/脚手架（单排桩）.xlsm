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2368" windowHeight="9420"/>
  </bookViews>
  <sheets>
    <sheet name="脚手架 (2)" sheetId="9" r:id="rId1"/>
  </sheets>
  <definedNames>
    <definedName name="hh">EVALUATE(#REF!)</definedName>
    <definedName name="_xlnm._FilterDatabase" localSheetId="0" hidden="1">'脚手架 (2)'!$B$1:$H$27</definedName>
    <definedName name="hh" localSheetId="0">EVALUATE('脚手架 (2)'!XFD1)</definedName>
    <definedName name="_xlnm.Print_Titles" localSheetId="0">'脚手架 (2)'!$1:$3</definedName>
    <definedName name="a">EVALUATE('脚手架 (2)'!B1)</definedName>
    <definedName name="s">EVALUATE('脚手架 (2)'!$D$9)</definedName>
  </definedNames>
  <calcPr calcId="144525"/>
</workbook>
</file>

<file path=xl/sharedStrings.xml><?xml version="1.0" encoding="utf-8"?>
<sst xmlns="http://schemas.openxmlformats.org/spreadsheetml/2006/main" count="111" uniqueCount="77">
  <si>
    <t>场地单排桩外脚手架报价分析（不含管理费、不含税）</t>
  </si>
  <si>
    <t>墙长：</t>
  </si>
  <si>
    <t>4.5m宽</t>
  </si>
  <si>
    <t>8.3m高</t>
  </si>
  <si>
    <t>名称</t>
  </si>
  <si>
    <t>钢管理论重量（kg/m)</t>
  </si>
  <si>
    <t>数量</t>
  </si>
  <si>
    <t>长度</t>
  </si>
  <si>
    <t>排数</t>
  </si>
  <si>
    <t>总长（m）</t>
  </si>
  <si>
    <t>租金单价</t>
  </si>
  <si>
    <t>月</t>
  </si>
  <si>
    <t>4个月费用（元）</t>
  </si>
  <si>
    <t>脚手架体积（m³）</t>
  </si>
  <si>
    <t>单价（元/m³）</t>
  </si>
  <si>
    <t>主材</t>
  </si>
  <si>
    <t>立杆</t>
  </si>
  <si>
    <t>3.84</t>
  </si>
  <si>
    <t>元/月/米</t>
  </si>
  <si>
    <t>大横杆</t>
  </si>
  <si>
    <t>小横杆</t>
  </si>
  <si>
    <t>剪力撑</t>
  </si>
  <si>
    <t>直角扣件</t>
  </si>
  <si>
    <t>数量（个）</t>
  </si>
  <si>
    <t>计算式</t>
  </si>
  <si>
    <t>公式</t>
  </si>
  <si>
    <t>元/月/个</t>
  </si>
  <si>
    <t>2.4*171*7*5/1.5</t>
  </si>
  <si>
    <t>2.4*杆总根数/步距</t>
  </si>
  <si>
    <t>对接扣件</t>
  </si>
  <si>
    <t>（171*8.3*5+159*6*5）/6</t>
  </si>
  <si>
    <t>长杆总长度/长杆长度</t>
  </si>
  <si>
    <t>旋转扣件</t>
  </si>
  <si>
    <t>0.3*（171*8.3*5+159*6*6+34*4）/6</t>
  </si>
  <si>
    <t>0.3*长杆总长度/长杆长度</t>
  </si>
  <si>
    <t>化学锚栓</t>
  </si>
  <si>
    <t>合计（元）</t>
  </si>
  <si>
    <t>数量（根）</t>
  </si>
  <si>
    <t>单价（元/根）</t>
  </si>
  <si>
    <t>脚手板</t>
  </si>
  <si>
    <t>数量（张）</t>
  </si>
  <si>
    <t>元/张/月</t>
  </si>
  <si>
    <t>4.5/0.3[板宽]*（187.21/4[板长]）</t>
  </si>
  <si>
    <t>702张数量如何核实？</t>
  </si>
  <si>
    <t>辅材及其他费用</t>
  </si>
  <si>
    <t>扣件维修费</t>
  </si>
  <si>
    <t>元/个</t>
  </si>
  <si>
    <t>不计费</t>
  </si>
  <si>
    <t>上车费</t>
  </si>
  <si>
    <t>计算式（t）</t>
  </si>
  <si>
    <t>元/吨</t>
  </si>
  <si>
    <t>下车费</t>
  </si>
  <si>
    <t>调试费</t>
  </si>
  <si>
    <t>安全网</t>
  </si>
  <si>
    <t>工程量</t>
  </si>
  <si>
    <t>（元/㎡）</t>
  </si>
  <si>
    <t>核实现场是否按此挂网，</t>
  </si>
  <si>
    <t>8.3*187.21+4.5*8.3*2</t>
  </si>
  <si>
    <t>水平兜网</t>
  </si>
  <si>
    <t>核实现场是否按此挂网，图片显示水平网没有</t>
  </si>
  <si>
    <t>4.5*187.21</t>
  </si>
  <si>
    <t>脚手板二次安装</t>
  </si>
  <si>
    <t>脚手板拆除安装</t>
  </si>
  <si>
    <t>单价（元/张）</t>
  </si>
  <si>
    <t>（元/张）</t>
  </si>
  <si>
    <t>人工费</t>
  </si>
  <si>
    <t>人工搭脚手架</t>
  </si>
  <si>
    <t>（元/m³）</t>
  </si>
  <si>
    <t>4.5*8.3*187.21</t>
  </si>
  <si>
    <t>平场地</t>
  </si>
  <si>
    <t>人工平整场地</t>
  </si>
  <si>
    <t>5*187.21</t>
  </si>
  <si>
    <t>硬化脚手架基础</t>
  </si>
  <si>
    <t>脚手架基础C15砼硬化</t>
  </si>
  <si>
    <t>5*187.21*0.1</t>
  </si>
  <si>
    <t>注：脚手架租用4个月，搭设高度8.3m，以上单价不含管理费、不含税金</t>
  </si>
  <si>
    <t xml:space="preserve"> 1、每根桩有两排锚索，需分别在不同高度开孔，满堂脚手架存在二次搭拆，在第一排锚索施工完毕后，将脚手架拆除2.5m至第二排锚索的标高，对脚手架下排进行加固处理，且在二次搭拆时，需留两米高的双排脚手架，用于锚索二次张拉、锚索锁定以及锚蹲制作安装等。</t>
  </si>
</sst>
</file>

<file path=xl/styles.xml><?xml version="1.0" encoding="utf-8"?>
<styleSheet xmlns="http://schemas.openxmlformats.org/spreadsheetml/2006/main">
  <numFmts count="7">
    <numFmt numFmtId="44" formatCode="_ &quot;￥&quot;* #,##0.00_ ;_ &quot;￥&quot;* \-#,##0.00_ ;_ &quot;￥&quot;* &quot;-&quot;??_ ;_ @_ "/>
    <numFmt numFmtId="176" formatCode="0.0_ "/>
    <numFmt numFmtId="41" formatCode="_ * #,##0_ ;_ * \-#,##0_ ;_ * &quot;-&quot;_ ;_ @_ "/>
    <numFmt numFmtId="177" formatCode="0_ "/>
    <numFmt numFmtId="178" formatCode="0.00_ "/>
    <numFmt numFmtId="43" formatCode="_ * #,##0.00_ ;_ * \-#,##0.00_ ;_ * &quot;-&quot;??_ ;_ @_ "/>
    <numFmt numFmtId="42" formatCode="_ &quot;￥&quot;* #,##0_ ;_ &quot;￥&quot;* \-#,##0_ ;_ &quot;￥&quot;* &quot;-&quot;_ ;_ @_ "/>
  </numFmts>
  <fonts count="22">
    <font>
      <sz val="11"/>
      <color theme="1"/>
      <name val="宋体"/>
      <charset val="134"/>
      <scheme val="minor"/>
    </font>
    <font>
      <b/>
      <sz val="16"/>
      <color theme="1"/>
      <name val="宋体"/>
      <charset val="134"/>
      <scheme val="minor"/>
    </font>
    <font>
      <sz val="11"/>
      <color indexed="8"/>
      <name val="宋体"/>
      <charset val="134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5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81688894314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11" fillId="15" borderId="1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27" borderId="15" applyNumberFormat="0" applyFont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4" fillId="0" borderId="9" applyNumberFormat="0" applyFill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13" fillId="0" borderId="16" applyNumberFormat="0" applyFill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14" fillId="14" borderId="13" applyNumberFormat="0" applyAlignment="0" applyProtection="0">
      <alignment vertical="center"/>
    </xf>
    <xf numFmtId="0" fontId="9" fillId="14" borderId="11" applyNumberFormat="0" applyAlignment="0" applyProtection="0">
      <alignment vertical="center"/>
    </xf>
    <xf numFmtId="0" fontId="17" fillId="26" borderId="14" applyNumberFormat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12" fillId="0" borderId="12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</cellStyleXfs>
  <cellXfs count="38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178" fontId="0" fillId="0" borderId="0" xfId="0" applyNumberFormat="1"/>
    <xf numFmtId="178" fontId="0" fillId="0" borderId="0" xfId="0" applyNumberFormat="1" applyAlignment="1">
      <alignment horizontal="center" vertical="center" wrapText="1"/>
    </xf>
    <xf numFmtId="177" fontId="0" fillId="0" borderId="0" xfId="0" applyNumberFormat="1" applyAlignment="1">
      <alignment horizontal="center" vertical="center" wrapText="1"/>
    </xf>
    <xf numFmtId="177" fontId="0" fillId="0" borderId="0" xfId="0" applyNumberFormat="1" applyAlignment="1">
      <alignment vertical="center" wrapText="1"/>
    </xf>
    <xf numFmtId="178" fontId="0" fillId="0" borderId="0" xfId="0" applyNumberFormat="1" applyAlignment="1">
      <alignment vertical="center" wrapText="1"/>
    </xf>
    <xf numFmtId="178" fontId="1" fillId="0" borderId="0" xfId="0" applyNumberFormat="1" applyFont="1" applyAlignment="1">
      <alignment horizontal="center" vertical="center" wrapText="1"/>
    </xf>
    <xf numFmtId="178" fontId="0" fillId="0" borderId="1" xfId="0" applyNumberFormat="1" applyBorder="1" applyAlignment="1">
      <alignment vertical="center" wrapText="1"/>
    </xf>
    <xf numFmtId="177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78" fontId="0" fillId="0" borderId="1" xfId="0" applyNumberForma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78" fontId="2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78" fontId="0" fillId="0" borderId="3" xfId="0" applyNumberForma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78" fontId="0" fillId="0" borderId="4" xfId="0" applyNumberFormat="1" applyBorder="1" applyAlignment="1">
      <alignment horizontal="center" vertical="center" wrapText="1"/>
    </xf>
    <xf numFmtId="178" fontId="2" fillId="0" borderId="2" xfId="0" applyNumberFormat="1" applyFont="1" applyBorder="1" applyAlignment="1">
      <alignment horizontal="center" vertical="center" wrapText="1"/>
    </xf>
    <xf numFmtId="178" fontId="2" fillId="0" borderId="4" xfId="0" applyNumberFormat="1" applyFont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7" fontId="0" fillId="0" borderId="1" xfId="0" applyNumberForma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5" xfId="0" applyBorder="1" applyAlignment="1">
      <alignment horizontal="center" vertical="center" wrapText="1"/>
    </xf>
    <xf numFmtId="178" fontId="0" fillId="0" borderId="0" xfId="0" applyNumberFormat="1" applyAlignment="1">
      <alignment horizontal="left"/>
    </xf>
    <xf numFmtId="178" fontId="0" fillId="0" borderId="0" xfId="0" applyNumberFormat="1" applyAlignment="1">
      <alignment horizontal="left" wrapText="1"/>
    </xf>
    <xf numFmtId="178" fontId="0" fillId="0" borderId="0" xfId="0" applyNumberFormat="1" applyAlignment="1">
      <alignment horizontal="center"/>
    </xf>
    <xf numFmtId="178" fontId="0" fillId="0" borderId="0" xfId="0" applyNumberFormat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178" fontId="0" fillId="3" borderId="2" xfId="0" applyNumberFormat="1" applyFill="1" applyBorder="1" applyAlignment="1">
      <alignment horizontal="center" vertical="center" wrapText="1"/>
    </xf>
    <xf numFmtId="178" fontId="0" fillId="3" borderId="4" xfId="0" applyNumberFormat="1" applyFill="1" applyBorder="1" applyAlignment="1">
      <alignment horizontal="center" vertical="center" wrapText="1"/>
    </xf>
    <xf numFmtId="178" fontId="0" fillId="3" borderId="1" xfId="0" applyNumberForma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XFD44"/>
  <sheetViews>
    <sheetView tabSelected="1" workbookViewId="0">
      <pane ySplit="1" topLeftCell="A14" activePane="bottomLeft" state="frozen"/>
      <selection/>
      <selection pane="bottomLeft" activeCell="P28" sqref="P28"/>
    </sheetView>
  </sheetViews>
  <sheetFormatPr defaultColWidth="9" defaultRowHeight="20" customHeight="1"/>
  <cols>
    <col min="1" max="1" width="9" style="3"/>
    <col min="2" max="2" width="10.1296296296296" style="1" customWidth="1"/>
    <col min="3" max="3" width="13" style="4" customWidth="1"/>
    <col min="4" max="4" width="28.8796296296296" style="5" customWidth="1"/>
    <col min="5" max="5" width="28.3796296296296" style="2" customWidth="1"/>
    <col min="6" max="6" width="6.87962962962963" style="6" customWidth="1"/>
    <col min="7" max="7" width="10.6296296296296" style="4" customWidth="1"/>
    <col min="8" max="8" width="12.8796296296296" style="2" hidden="1" customWidth="1"/>
    <col min="9" max="9" width="10.3796296296296" style="2" customWidth="1"/>
    <col min="10" max="10" width="7.12962962962963" style="2" customWidth="1"/>
    <col min="11" max="11" width="5.12962962962963" style="2" customWidth="1"/>
    <col min="12" max="12" width="10.8796296296296" style="7" customWidth="1"/>
    <col min="13" max="13" width="12.1296296296296" style="2" customWidth="1"/>
    <col min="14" max="14" width="9" style="7" customWidth="1"/>
    <col min="15" max="15" width="12.6296296296296" style="2"/>
    <col min="16" max="16381" width="9" style="2"/>
  </cols>
  <sheetData>
    <row r="1" s="1" customFormat="1" ht="33" customHeight="1" spans="1:14">
      <c r="A1" s="8" t="s">
        <v>0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</row>
    <row r="2" s="1" customFormat="1" customHeight="1" spans="1:14">
      <c r="A2" s="9" t="s">
        <v>1</v>
      </c>
      <c r="B2" s="9">
        <f>52.38+51.633+83.2</f>
        <v>187.213</v>
      </c>
      <c r="C2" s="9" t="s">
        <v>2</v>
      </c>
      <c r="D2" s="10" t="s">
        <v>3</v>
      </c>
      <c r="E2" s="11"/>
      <c r="F2" s="10"/>
      <c r="G2" s="12"/>
      <c r="H2" s="11"/>
      <c r="I2" s="11"/>
      <c r="J2" s="11"/>
      <c r="K2" s="11"/>
      <c r="L2" s="12"/>
      <c r="M2" s="11"/>
      <c r="N2" s="12"/>
    </row>
    <row r="3" s="1" customFormat="1" ht="34" customHeight="1" spans="1:14">
      <c r="A3" s="12"/>
      <c r="B3" s="11" t="s">
        <v>4</v>
      </c>
      <c r="C3" s="12" t="s">
        <v>5</v>
      </c>
      <c r="D3" s="10" t="s">
        <v>6</v>
      </c>
      <c r="E3" s="13" t="s">
        <v>7</v>
      </c>
      <c r="F3" s="10" t="s">
        <v>8</v>
      </c>
      <c r="G3" s="14" t="s">
        <v>9</v>
      </c>
      <c r="H3" s="11"/>
      <c r="I3" s="25" t="s">
        <v>10</v>
      </c>
      <c r="J3" s="30"/>
      <c r="K3" s="30" t="s">
        <v>11</v>
      </c>
      <c r="L3" s="12" t="s">
        <v>12</v>
      </c>
      <c r="M3" s="11" t="s">
        <v>13</v>
      </c>
      <c r="N3" s="12" t="s">
        <v>14</v>
      </c>
    </row>
    <row r="4" s="1" customFormat="1" customHeight="1" spans="1:17">
      <c r="A4" s="15" t="s">
        <v>15</v>
      </c>
      <c r="B4" s="16" t="s">
        <v>16</v>
      </c>
      <c r="C4" s="12" t="s">
        <v>17</v>
      </c>
      <c r="D4" s="10">
        <f>B2/1.1+1</f>
        <v>171.193636363636</v>
      </c>
      <c r="E4" s="13">
        <v>8.3</v>
      </c>
      <c r="F4" s="10">
        <f>5</f>
        <v>5</v>
      </c>
      <c r="G4" s="14">
        <f>D4*E4*F4</f>
        <v>7104.53590909089</v>
      </c>
      <c r="H4" s="11"/>
      <c r="I4" s="16" t="s">
        <v>18</v>
      </c>
      <c r="J4" s="11">
        <v>0.45</v>
      </c>
      <c r="K4" s="16">
        <v>4</v>
      </c>
      <c r="L4" s="12">
        <f>(G4+G5+G6+G7)*J4*K4</f>
        <v>31987.278850909</v>
      </c>
      <c r="M4" s="12">
        <f>4.5*187.21*8.3</f>
        <v>6992.2935</v>
      </c>
      <c r="N4" s="12">
        <f>L4/M4</f>
        <v>4.57464762468982</v>
      </c>
      <c r="Q4" s="1">
        <f>0.015*30</f>
        <v>0.45</v>
      </c>
    </row>
    <row r="5" s="1" customFormat="1" customHeight="1" spans="1:14">
      <c r="A5" s="17"/>
      <c r="B5" s="16" t="s">
        <v>19</v>
      </c>
      <c r="C5" s="12" t="s">
        <v>17</v>
      </c>
      <c r="D5" s="10">
        <f>(4.5/1.1+1)*187.2/6</f>
        <v>158.836363636364</v>
      </c>
      <c r="E5" s="13">
        <v>6</v>
      </c>
      <c r="F5" s="10">
        <f>8.3/1.5</f>
        <v>5.53333333333333</v>
      </c>
      <c r="G5" s="14">
        <f>D5*E5*F5</f>
        <v>5273.36727272727</v>
      </c>
      <c r="H5" s="11"/>
      <c r="I5" s="31"/>
      <c r="J5" s="11"/>
      <c r="K5" s="31"/>
      <c r="L5" s="12"/>
      <c r="M5" s="12"/>
      <c r="N5" s="12"/>
    </row>
    <row r="6" s="1" customFormat="1" customHeight="1" spans="1:14">
      <c r="A6" s="17"/>
      <c r="B6" s="11" t="s">
        <v>20</v>
      </c>
      <c r="C6" s="12">
        <v>3.84</v>
      </c>
      <c r="D6" s="10">
        <f>B2/1.1+1</f>
        <v>171.193636363636</v>
      </c>
      <c r="E6" s="13">
        <v>4.5</v>
      </c>
      <c r="F6" s="10">
        <f>(8.3/1.5)</f>
        <v>5.53333333333333</v>
      </c>
      <c r="G6" s="14">
        <f>D6*E6*F6</f>
        <v>4262.72154545454</v>
      </c>
      <c r="H6" s="11"/>
      <c r="I6" s="31"/>
      <c r="J6" s="11"/>
      <c r="K6" s="31"/>
      <c r="L6" s="12"/>
      <c r="M6" s="12"/>
      <c r="N6" s="12"/>
    </row>
    <row r="7" s="1" customFormat="1" customHeight="1" spans="1:17">
      <c r="A7" s="17"/>
      <c r="B7" s="11" t="s">
        <v>21</v>
      </c>
      <c r="C7" s="12" t="s">
        <v>17</v>
      </c>
      <c r="D7" s="10">
        <f>4</f>
        <v>4</v>
      </c>
      <c r="E7" s="13">
        <v>8.3</v>
      </c>
      <c r="F7" s="10">
        <f>B2/5.5</f>
        <v>34.0387272727273</v>
      </c>
      <c r="G7" s="14">
        <f>D7*E7*F7</f>
        <v>1130.08574545455</v>
      </c>
      <c r="H7" s="11"/>
      <c r="I7" s="18"/>
      <c r="J7" s="11"/>
      <c r="K7" s="18"/>
      <c r="L7" s="12"/>
      <c r="M7" s="12"/>
      <c r="N7" s="12"/>
      <c r="Q7" s="1">
        <f>0.012*30</f>
        <v>0.36</v>
      </c>
    </row>
    <row r="8" s="1" customFormat="1" customHeight="1" spans="1:14">
      <c r="A8" s="17"/>
      <c r="B8" s="16" t="s">
        <v>22</v>
      </c>
      <c r="C8" s="12" t="s">
        <v>23</v>
      </c>
      <c r="D8" s="10" t="s">
        <v>24</v>
      </c>
      <c r="E8" s="13" t="s">
        <v>25</v>
      </c>
      <c r="F8" s="10"/>
      <c r="G8" s="14"/>
      <c r="H8" s="11"/>
      <c r="I8" s="16" t="s">
        <v>26</v>
      </c>
      <c r="J8" s="11">
        <v>0.36</v>
      </c>
      <c r="K8" s="16">
        <v>4</v>
      </c>
      <c r="L8" s="12">
        <f ca="1">C9*J8*K8</f>
        <v>13789.44</v>
      </c>
      <c r="M8" s="12"/>
      <c r="N8" s="12">
        <f ca="1">L8/M4</f>
        <v>1.9720911314721</v>
      </c>
    </row>
    <row r="9" s="1" customFormat="1" customHeight="1" spans="1:14">
      <c r="A9" s="17"/>
      <c r="B9" s="18"/>
      <c r="C9" s="12">
        <f ca="1">a</f>
        <v>9576</v>
      </c>
      <c r="D9" s="10" t="s">
        <v>27</v>
      </c>
      <c r="E9" s="10" t="s">
        <v>28</v>
      </c>
      <c r="F9" s="10"/>
      <c r="G9" s="14"/>
      <c r="H9" s="11"/>
      <c r="I9" s="18"/>
      <c r="J9" s="11"/>
      <c r="K9" s="18"/>
      <c r="L9" s="12"/>
      <c r="M9" s="12"/>
      <c r="N9" s="12"/>
    </row>
    <row r="10" s="1" customFormat="1" customHeight="1" spans="1:14">
      <c r="A10" s="17"/>
      <c r="B10" s="16" t="s">
        <v>29</v>
      </c>
      <c r="C10" s="12" t="s">
        <v>23</v>
      </c>
      <c r="D10" s="10" t="s">
        <v>24</v>
      </c>
      <c r="E10" s="13" t="s">
        <v>25</v>
      </c>
      <c r="F10" s="10"/>
      <c r="G10" s="14"/>
      <c r="H10" s="11"/>
      <c r="I10" s="16" t="s">
        <v>26</v>
      </c>
      <c r="J10" s="11">
        <v>0.36</v>
      </c>
      <c r="K10" s="16">
        <v>4</v>
      </c>
      <c r="L10" s="12">
        <f ca="1">C11*J10*K10</f>
        <v>2847.96</v>
      </c>
      <c r="M10" s="12"/>
      <c r="N10" s="12">
        <f ca="1">L10/M4</f>
        <v>0.407299836598678</v>
      </c>
    </row>
    <row r="11" s="1" customFormat="1" customHeight="1" spans="1:14">
      <c r="A11" s="17"/>
      <c r="B11" s="18"/>
      <c r="C11" s="12">
        <f ca="1">a</f>
        <v>1977.75</v>
      </c>
      <c r="D11" s="10" t="s">
        <v>30</v>
      </c>
      <c r="E11" s="10" t="s">
        <v>31</v>
      </c>
      <c r="F11" s="10"/>
      <c r="G11" s="14"/>
      <c r="H11" s="11"/>
      <c r="I11" s="18"/>
      <c r="J11" s="11"/>
      <c r="K11" s="18"/>
      <c r="L11" s="12"/>
      <c r="M11" s="12"/>
      <c r="N11" s="12"/>
    </row>
    <row r="12" s="1" customFormat="1" customHeight="1" spans="1:14">
      <c r="A12" s="17"/>
      <c r="B12" s="11" t="s">
        <v>32</v>
      </c>
      <c r="C12" s="12" t="s">
        <v>23</v>
      </c>
      <c r="D12" s="10" t="s">
        <v>24</v>
      </c>
      <c r="E12" s="13" t="s">
        <v>25</v>
      </c>
      <c r="F12" s="10"/>
      <c r="G12" s="14"/>
      <c r="H12" s="11"/>
      <c r="I12" s="16" t="s">
        <v>26</v>
      </c>
      <c r="J12" s="11">
        <v>0.36</v>
      </c>
      <c r="K12" s="16">
        <v>4</v>
      </c>
      <c r="L12" s="12">
        <f ca="1">C13*J12*K12</f>
        <v>932.868</v>
      </c>
      <c r="M12" s="12"/>
      <c r="N12" s="12">
        <f ca="1">L12/M4</f>
        <v>0.133413736136791</v>
      </c>
    </row>
    <row r="13" s="1" customFormat="1" ht="35" customHeight="1" spans="1:14">
      <c r="A13" s="17"/>
      <c r="B13" s="11"/>
      <c r="C13" s="12">
        <f ca="1">a</f>
        <v>647.825</v>
      </c>
      <c r="D13" s="10" t="s">
        <v>33</v>
      </c>
      <c r="E13" s="10" t="s">
        <v>34</v>
      </c>
      <c r="F13" s="10"/>
      <c r="G13" s="14"/>
      <c r="H13" s="11"/>
      <c r="I13" s="18"/>
      <c r="J13" s="11"/>
      <c r="K13" s="18"/>
      <c r="L13" s="12"/>
      <c r="M13" s="12"/>
      <c r="N13" s="12"/>
    </row>
    <row r="14" s="1" customFormat="1" customHeight="1" spans="1:14">
      <c r="A14" s="15" t="s">
        <v>35</v>
      </c>
      <c r="B14" s="16" t="s">
        <v>35</v>
      </c>
      <c r="C14" s="11" t="s">
        <v>36</v>
      </c>
      <c r="D14" s="12" t="s">
        <v>37</v>
      </c>
      <c r="E14" s="12" t="s">
        <v>38</v>
      </c>
      <c r="F14" s="10"/>
      <c r="G14" s="14"/>
      <c r="H14" s="11"/>
      <c r="I14" s="11"/>
      <c r="J14" s="24"/>
      <c r="K14" s="11"/>
      <c r="L14" s="15">
        <f>C15</f>
        <v>4320</v>
      </c>
      <c r="M14" s="9"/>
      <c r="N14" s="9"/>
    </row>
    <row r="15" s="1" customFormat="1" customHeight="1" spans="1:14">
      <c r="A15" s="19"/>
      <c r="B15" s="18"/>
      <c r="C15" s="11">
        <f>D15*E15</f>
        <v>4320</v>
      </c>
      <c r="D15" s="12">
        <v>72</v>
      </c>
      <c r="E15" s="12">
        <v>60</v>
      </c>
      <c r="F15" s="10"/>
      <c r="G15" s="14"/>
      <c r="H15" s="11"/>
      <c r="I15" s="11"/>
      <c r="J15" s="24"/>
      <c r="K15" s="11"/>
      <c r="L15" s="19"/>
      <c r="M15" s="9"/>
      <c r="N15" s="9"/>
    </row>
    <row r="16" s="1" customFormat="1" customHeight="1" spans="1:14">
      <c r="A16" s="15" t="s">
        <v>39</v>
      </c>
      <c r="B16" s="11" t="s">
        <v>39</v>
      </c>
      <c r="C16" s="12"/>
      <c r="D16" s="11" t="s">
        <v>40</v>
      </c>
      <c r="E16" s="10" t="s">
        <v>24</v>
      </c>
      <c r="F16" s="10"/>
      <c r="G16" s="14"/>
      <c r="H16" s="11"/>
      <c r="I16" s="16" t="s">
        <v>41</v>
      </c>
      <c r="J16" s="32">
        <f>0.25*30</f>
        <v>7.5</v>
      </c>
      <c r="K16" s="16">
        <v>4</v>
      </c>
      <c r="L16" s="12">
        <f>D17*J16*K16</f>
        <v>21061.125</v>
      </c>
      <c r="M16" s="9"/>
      <c r="N16" s="9"/>
    </row>
    <row r="17" s="1" customFormat="1" ht="27" customHeight="1" spans="1:15">
      <c r="A17" s="19"/>
      <c r="B17" s="11"/>
      <c r="C17" s="12"/>
      <c r="D17" s="10">
        <f>4.5/0.3*(187.21/4)</f>
        <v>702.0375</v>
      </c>
      <c r="E17" s="10" t="s">
        <v>42</v>
      </c>
      <c r="F17" s="10"/>
      <c r="G17" s="14"/>
      <c r="H17" s="11"/>
      <c r="I17" s="18"/>
      <c r="J17" s="32"/>
      <c r="K17" s="18"/>
      <c r="L17" s="12"/>
      <c r="M17" s="9"/>
      <c r="N17" s="9"/>
      <c r="O17" s="1" t="s">
        <v>43</v>
      </c>
    </row>
    <row r="18" s="1" customFormat="1" ht="21" customHeight="1" spans="1:14">
      <c r="A18" s="15" t="s">
        <v>44</v>
      </c>
      <c r="B18" s="16" t="s">
        <v>45</v>
      </c>
      <c r="C18" s="12" t="s">
        <v>23</v>
      </c>
      <c r="D18" s="10"/>
      <c r="E18" s="10"/>
      <c r="F18" s="10"/>
      <c r="G18" s="14"/>
      <c r="H18" s="11"/>
      <c r="I18" s="16" t="s">
        <v>46</v>
      </c>
      <c r="J18" s="16">
        <v>0.12</v>
      </c>
      <c r="K18" s="16"/>
      <c r="L18" s="33">
        <f ca="1">C19*J18</f>
        <v>1464.189</v>
      </c>
      <c r="M18" s="12">
        <f>4.5*187.21*8.3</f>
        <v>6992.2935</v>
      </c>
      <c r="N18" s="15">
        <f ca="1">L18/M18</f>
        <v>0.209400392017297</v>
      </c>
    </row>
    <row r="19" s="1" customFormat="1" ht="21" customHeight="1" spans="1:15">
      <c r="A19" s="17"/>
      <c r="B19" s="18"/>
      <c r="C19" s="12">
        <f ca="1">C11+C9+C13</f>
        <v>12201.575</v>
      </c>
      <c r="D19" s="10"/>
      <c r="E19" s="13"/>
      <c r="F19" s="10"/>
      <c r="G19" s="14"/>
      <c r="H19" s="11"/>
      <c r="I19" s="18"/>
      <c r="J19" s="18"/>
      <c r="K19" s="18"/>
      <c r="L19" s="34"/>
      <c r="M19" s="12"/>
      <c r="N19" s="19"/>
      <c r="O19" s="1" t="s">
        <v>47</v>
      </c>
    </row>
    <row r="20" s="1" customFormat="1" customHeight="1" spans="1:14">
      <c r="A20" s="17"/>
      <c r="B20" s="11" t="s">
        <v>48</v>
      </c>
      <c r="C20" s="12"/>
      <c r="D20" s="10" t="s">
        <v>49</v>
      </c>
      <c r="E20" s="13"/>
      <c r="F20" s="10"/>
      <c r="G20" s="14"/>
      <c r="H20" s="11"/>
      <c r="I20" s="16" t="s">
        <v>50</v>
      </c>
      <c r="J20" s="11">
        <v>10</v>
      </c>
      <c r="K20" s="11"/>
      <c r="L20" s="35">
        <f>D21*J20</f>
        <v>682.395282152726</v>
      </c>
      <c r="M20" s="12"/>
      <c r="N20" s="15">
        <f>L20/M18</f>
        <v>0.0975924826600494</v>
      </c>
    </row>
    <row r="21" s="1" customFormat="1" customHeight="1" spans="1:15">
      <c r="A21" s="17"/>
      <c r="B21" s="11"/>
      <c r="C21" s="12"/>
      <c r="D21" s="12">
        <f>(G4+G5+G6+G7)*C7/1000</f>
        <v>68.2395282152726</v>
      </c>
      <c r="E21" s="13"/>
      <c r="F21" s="10"/>
      <c r="G21" s="14"/>
      <c r="H21" s="11"/>
      <c r="I21" s="18"/>
      <c r="J21" s="11"/>
      <c r="K21" s="11"/>
      <c r="L21" s="35"/>
      <c r="M21" s="12"/>
      <c r="N21" s="19"/>
      <c r="O21" s="1" t="s">
        <v>47</v>
      </c>
    </row>
    <row r="22" s="1" customFormat="1" customHeight="1" spans="1:14">
      <c r="A22" s="17"/>
      <c r="B22" s="11" t="s">
        <v>51</v>
      </c>
      <c r="C22" s="12"/>
      <c r="D22" s="10" t="s">
        <v>49</v>
      </c>
      <c r="E22" s="13"/>
      <c r="F22" s="10"/>
      <c r="G22" s="14"/>
      <c r="H22" s="11"/>
      <c r="I22" s="16" t="s">
        <v>50</v>
      </c>
      <c r="J22" s="11">
        <v>10</v>
      </c>
      <c r="K22" s="11"/>
      <c r="L22" s="35">
        <f>D23*J22</f>
        <v>682.395282152726</v>
      </c>
      <c r="M22" s="12"/>
      <c r="N22" s="15">
        <f>L22/M18</f>
        <v>0.0975924826600494</v>
      </c>
    </row>
    <row r="23" s="1" customFormat="1" customHeight="1" spans="1:15">
      <c r="A23" s="17"/>
      <c r="B23" s="11"/>
      <c r="C23" s="12"/>
      <c r="D23" s="12">
        <f>D21</f>
        <v>68.2395282152726</v>
      </c>
      <c r="E23" s="13"/>
      <c r="F23" s="10"/>
      <c r="G23" s="14"/>
      <c r="H23" s="11"/>
      <c r="I23" s="18"/>
      <c r="J23" s="11"/>
      <c r="K23" s="11"/>
      <c r="L23" s="35"/>
      <c r="M23" s="12"/>
      <c r="N23" s="19"/>
      <c r="O23" s="1" t="s">
        <v>47</v>
      </c>
    </row>
    <row r="24" s="1" customFormat="1" customHeight="1" spans="1:14">
      <c r="A24" s="17"/>
      <c r="B24" s="11" t="s">
        <v>52</v>
      </c>
      <c r="C24" s="12"/>
      <c r="D24" s="10" t="s">
        <v>49</v>
      </c>
      <c r="E24" s="13"/>
      <c r="F24" s="10"/>
      <c r="G24" s="14"/>
      <c r="H24" s="11"/>
      <c r="I24" s="16" t="s">
        <v>50</v>
      </c>
      <c r="J24" s="11">
        <v>8</v>
      </c>
      <c r="K24" s="11"/>
      <c r="L24" s="35">
        <f>D25*J24</f>
        <v>545.916225722181</v>
      </c>
      <c r="M24" s="12"/>
      <c r="N24" s="15">
        <f>L24/M18</f>
        <v>0.0780739861280395</v>
      </c>
    </row>
    <row r="25" s="1" customFormat="1" customHeight="1" spans="1:15">
      <c r="A25" s="17"/>
      <c r="B25" s="11"/>
      <c r="C25" s="12"/>
      <c r="D25" s="12">
        <f>D23</f>
        <v>68.2395282152726</v>
      </c>
      <c r="E25" s="13"/>
      <c r="F25" s="10"/>
      <c r="G25" s="14"/>
      <c r="H25" s="11"/>
      <c r="I25" s="18"/>
      <c r="J25" s="11"/>
      <c r="K25" s="11"/>
      <c r="L25" s="35"/>
      <c r="M25" s="12"/>
      <c r="N25" s="19"/>
      <c r="O25" s="1" t="s">
        <v>47</v>
      </c>
    </row>
    <row r="26" s="1" customFormat="1" customHeight="1" spans="1:15">
      <c r="A26" s="17"/>
      <c r="B26" s="11" t="s">
        <v>53</v>
      </c>
      <c r="C26" s="12" t="s">
        <v>54</v>
      </c>
      <c r="D26" s="10" t="s">
        <v>24</v>
      </c>
      <c r="E26" s="13"/>
      <c r="F26" s="10"/>
      <c r="G26" s="14"/>
      <c r="H26" s="11"/>
      <c r="I26" s="16" t="s">
        <v>55</v>
      </c>
      <c r="J26" s="11">
        <v>6</v>
      </c>
      <c r="K26" s="11"/>
      <c r="L26" s="12">
        <f ca="1">C27*J26</f>
        <v>9771.258</v>
      </c>
      <c r="M26" s="12"/>
      <c r="N26" s="15">
        <f ca="1">L26/M18</f>
        <v>1.39743247333654</v>
      </c>
      <c r="O26" s="1" t="s">
        <v>56</v>
      </c>
    </row>
    <row r="27" s="1" customFormat="1" customHeight="1" spans="1:14">
      <c r="A27" s="17"/>
      <c r="B27" s="11"/>
      <c r="C27" s="12">
        <f ca="1">a</f>
        <v>1628.543</v>
      </c>
      <c r="D27" s="10" t="s">
        <v>57</v>
      </c>
      <c r="E27" s="13"/>
      <c r="F27" s="10"/>
      <c r="G27" s="14"/>
      <c r="H27" s="11"/>
      <c r="I27" s="18"/>
      <c r="J27" s="11"/>
      <c r="K27" s="11"/>
      <c r="L27" s="12"/>
      <c r="M27" s="12"/>
      <c r="N27" s="19"/>
    </row>
    <row r="28" s="1" customFormat="1" customHeight="1" spans="1:15">
      <c r="A28" s="17"/>
      <c r="B28" s="11" t="s">
        <v>58</v>
      </c>
      <c r="C28" s="12" t="s">
        <v>54</v>
      </c>
      <c r="D28" s="10" t="s">
        <v>24</v>
      </c>
      <c r="E28" s="13"/>
      <c r="F28" s="10"/>
      <c r="G28" s="20"/>
      <c r="H28" s="11"/>
      <c r="I28" s="16" t="s">
        <v>55</v>
      </c>
      <c r="J28" s="11">
        <v>6</v>
      </c>
      <c r="K28" s="16"/>
      <c r="L28" s="12">
        <f ca="1">C29*J28</f>
        <v>5054.67</v>
      </c>
      <c r="M28" s="12"/>
      <c r="N28" s="12">
        <f ca="1">L28/M18</f>
        <v>0.72289156626506</v>
      </c>
      <c r="O28" s="1" t="s">
        <v>59</v>
      </c>
    </row>
    <row r="29" s="1" customFormat="1" customHeight="1" spans="1:14">
      <c r="A29" s="17"/>
      <c r="B29" s="11"/>
      <c r="C29" s="12">
        <f ca="1">a</f>
        <v>842.445</v>
      </c>
      <c r="D29" s="10" t="s">
        <v>60</v>
      </c>
      <c r="E29" s="13"/>
      <c r="F29" s="10"/>
      <c r="G29" s="21"/>
      <c r="H29" s="11"/>
      <c r="I29" s="18"/>
      <c r="J29" s="11"/>
      <c r="K29" s="18"/>
      <c r="L29" s="12"/>
      <c r="M29" s="12"/>
      <c r="N29" s="12"/>
    </row>
    <row r="30" s="1" customFormat="1" ht="27" customHeight="1" spans="1:14">
      <c r="A30" s="12" t="s">
        <v>61</v>
      </c>
      <c r="B30" s="11" t="s">
        <v>62</v>
      </c>
      <c r="C30" s="12"/>
      <c r="D30" s="11" t="s">
        <v>40</v>
      </c>
      <c r="E30" s="10" t="s">
        <v>63</v>
      </c>
      <c r="F30" s="10"/>
      <c r="G30" s="20"/>
      <c r="H30" s="11"/>
      <c r="I30" s="16" t="s">
        <v>64</v>
      </c>
      <c r="J30" s="11">
        <v>1</v>
      </c>
      <c r="K30" s="16"/>
      <c r="L30" s="15">
        <f>D31*J30</f>
        <v>702.0375</v>
      </c>
      <c r="M30" s="17"/>
      <c r="N30" s="12"/>
    </row>
    <row r="31" s="1" customFormat="1" ht="27" customHeight="1" spans="1:14">
      <c r="A31" s="12"/>
      <c r="B31" s="11"/>
      <c r="C31" s="12"/>
      <c r="D31" s="10">
        <f>D17</f>
        <v>702.0375</v>
      </c>
      <c r="E31" s="22">
        <v>1</v>
      </c>
      <c r="F31" s="12"/>
      <c r="G31" s="21"/>
      <c r="H31" s="11"/>
      <c r="I31" s="18"/>
      <c r="J31" s="11"/>
      <c r="K31" s="18"/>
      <c r="L31" s="19"/>
      <c r="M31" s="19"/>
      <c r="N31" s="12"/>
    </row>
    <row r="32" s="1" customFormat="1" customHeight="1" spans="1:14">
      <c r="A32" s="12" t="s">
        <v>65</v>
      </c>
      <c r="B32" s="11" t="s">
        <v>66</v>
      </c>
      <c r="C32" s="12" t="s">
        <v>54</v>
      </c>
      <c r="D32" s="10" t="s">
        <v>24</v>
      </c>
      <c r="E32" s="13"/>
      <c r="F32" s="10"/>
      <c r="G32" s="20"/>
      <c r="H32" s="11"/>
      <c r="I32" s="16" t="s">
        <v>67</v>
      </c>
      <c r="J32" s="11">
        <v>12</v>
      </c>
      <c r="K32" s="11"/>
      <c r="L32" s="12">
        <f ca="1">C33*J32</f>
        <v>83907.522</v>
      </c>
      <c r="M32" s="17"/>
      <c r="N32" s="12"/>
    </row>
    <row r="33" customHeight="1" spans="1:14">
      <c r="A33" s="12"/>
      <c r="B33" s="11"/>
      <c r="C33" s="12">
        <f ca="1">a</f>
        <v>6992.2935</v>
      </c>
      <c r="D33" s="12" t="s">
        <v>68</v>
      </c>
      <c r="E33" s="11"/>
      <c r="F33" s="23"/>
      <c r="G33" s="21"/>
      <c r="H33" s="24"/>
      <c r="I33" s="18"/>
      <c r="J33" s="11"/>
      <c r="K33" s="11"/>
      <c r="L33" s="12"/>
      <c r="M33" s="17"/>
      <c r="N33" s="12"/>
    </row>
    <row r="34" s="1" customFormat="1" customHeight="1" spans="1:14">
      <c r="A34" s="12" t="s">
        <v>69</v>
      </c>
      <c r="B34" s="11" t="s">
        <v>70</v>
      </c>
      <c r="C34" s="12" t="s">
        <v>54</v>
      </c>
      <c r="D34" s="10" t="s">
        <v>24</v>
      </c>
      <c r="E34" s="10"/>
      <c r="F34" s="10"/>
      <c r="G34" s="20"/>
      <c r="H34" s="11"/>
      <c r="I34" s="16" t="s">
        <v>55</v>
      </c>
      <c r="J34" s="16">
        <v>8</v>
      </c>
      <c r="K34" s="11"/>
      <c r="L34" s="12">
        <f ca="1">C35*J34</f>
        <v>7488.4</v>
      </c>
      <c r="M34" s="11"/>
      <c r="N34" s="12"/>
    </row>
    <row r="35" s="1" customFormat="1" customHeight="1" spans="1:14">
      <c r="A35" s="12"/>
      <c r="B35" s="11"/>
      <c r="C35" s="12">
        <f ca="1">a</f>
        <v>936.05</v>
      </c>
      <c r="D35" s="10" t="s">
        <v>71</v>
      </c>
      <c r="E35" s="12"/>
      <c r="F35" s="10"/>
      <c r="G35" s="21"/>
      <c r="H35" s="11"/>
      <c r="I35" s="18"/>
      <c r="J35" s="18"/>
      <c r="K35" s="12"/>
      <c r="L35" s="12"/>
      <c r="M35" s="11"/>
      <c r="N35" s="12"/>
    </row>
    <row r="36" s="1" customFormat="1" ht="22" customHeight="1" spans="1:14">
      <c r="A36" s="12" t="s">
        <v>72</v>
      </c>
      <c r="B36" s="11" t="s">
        <v>73</v>
      </c>
      <c r="C36" s="12" t="s">
        <v>54</v>
      </c>
      <c r="D36" s="10" t="s">
        <v>24</v>
      </c>
      <c r="E36" s="10"/>
      <c r="F36" s="10"/>
      <c r="G36" s="14"/>
      <c r="H36" s="25"/>
      <c r="I36" s="11" t="s">
        <v>67</v>
      </c>
      <c r="J36" s="36">
        <v>535.42</v>
      </c>
      <c r="L36" s="12">
        <f ca="1">J36*C37</f>
        <v>50117.9891</v>
      </c>
      <c r="M36" s="16"/>
      <c r="N36" s="12"/>
    </row>
    <row r="37" s="1" customFormat="1" customHeight="1" spans="1:14">
      <c r="A37" s="12"/>
      <c r="B37" s="11"/>
      <c r="C37" s="12">
        <f ca="1">a</f>
        <v>93.605</v>
      </c>
      <c r="D37" s="10" t="s">
        <v>74</v>
      </c>
      <c r="E37" s="12"/>
      <c r="F37" s="10"/>
      <c r="G37" s="14"/>
      <c r="H37" s="25"/>
      <c r="I37" s="11"/>
      <c r="J37" s="37"/>
      <c r="K37" s="12"/>
      <c r="L37" s="12"/>
      <c r="M37" s="18"/>
      <c r="N37" s="12"/>
    </row>
    <row r="38" s="2" customFormat="1" customHeight="1" spans="1:16384">
      <c r="A38" s="26" t="s">
        <v>75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XFB38"/>
      <c r="XFC38"/>
      <c r="XFD38"/>
    </row>
    <row r="39" ht="31" customHeight="1" spans="1:14">
      <c r="A39" s="27" t="s">
        <v>76</v>
      </c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</row>
    <row r="40" customHeight="1" spans="1:14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</row>
    <row r="41" customHeight="1" spans="4:5">
      <c r="D41" s="29"/>
      <c r="E41" s="5"/>
    </row>
    <row r="42" customHeight="1" spans="5:5">
      <c r="E42" s="5"/>
    </row>
    <row r="43" customHeight="1" spans="5:5">
      <c r="E43" s="5"/>
    </row>
    <row r="44" customHeight="1" spans="6:6">
      <c r="F44" s="2"/>
    </row>
  </sheetData>
  <mergeCells count="106">
    <mergeCell ref="A1:N1"/>
    <mergeCell ref="I3:J3"/>
    <mergeCell ref="A38:N38"/>
    <mergeCell ref="A39:N39"/>
    <mergeCell ref="A40:N40"/>
    <mergeCell ref="A4:A13"/>
    <mergeCell ref="A14:A15"/>
    <mergeCell ref="A16:A17"/>
    <mergeCell ref="A18:A29"/>
    <mergeCell ref="A30:A31"/>
    <mergeCell ref="A32:A33"/>
    <mergeCell ref="A34:A35"/>
    <mergeCell ref="A36:A37"/>
    <mergeCell ref="B8:B9"/>
    <mergeCell ref="B10:B11"/>
    <mergeCell ref="B12:B13"/>
    <mergeCell ref="B14:B15"/>
    <mergeCell ref="B16:B17"/>
    <mergeCell ref="B18:B19"/>
    <mergeCell ref="B20:B21"/>
    <mergeCell ref="B22:B23"/>
    <mergeCell ref="B24:B25"/>
    <mergeCell ref="B26:B27"/>
    <mergeCell ref="B28:B29"/>
    <mergeCell ref="B30:B31"/>
    <mergeCell ref="B32:B33"/>
    <mergeCell ref="B34:B35"/>
    <mergeCell ref="B36:B37"/>
    <mergeCell ref="G28:G29"/>
    <mergeCell ref="G30:G31"/>
    <mergeCell ref="G32:G33"/>
    <mergeCell ref="G34:G35"/>
    <mergeCell ref="I4:I7"/>
    <mergeCell ref="I8:I9"/>
    <mergeCell ref="I10:I11"/>
    <mergeCell ref="I12:I13"/>
    <mergeCell ref="I16:I17"/>
    <mergeCell ref="I18:I19"/>
    <mergeCell ref="I20:I21"/>
    <mergeCell ref="I22:I23"/>
    <mergeCell ref="I24:I25"/>
    <mergeCell ref="I26:I27"/>
    <mergeCell ref="I28:I29"/>
    <mergeCell ref="I30:I31"/>
    <mergeCell ref="I32:I33"/>
    <mergeCell ref="I34:I35"/>
    <mergeCell ref="I36:I37"/>
    <mergeCell ref="J4:J7"/>
    <mergeCell ref="J8:J9"/>
    <mergeCell ref="J10:J11"/>
    <mergeCell ref="J12:J13"/>
    <mergeCell ref="J16:J17"/>
    <mergeCell ref="J18:J19"/>
    <mergeCell ref="J20:J21"/>
    <mergeCell ref="J22:J23"/>
    <mergeCell ref="J24:J25"/>
    <mergeCell ref="J26:J27"/>
    <mergeCell ref="J28:J29"/>
    <mergeCell ref="J30:J31"/>
    <mergeCell ref="J32:J33"/>
    <mergeCell ref="J34:J35"/>
    <mergeCell ref="J36:J37"/>
    <mergeCell ref="K4:K7"/>
    <mergeCell ref="K8:K9"/>
    <mergeCell ref="K10:K11"/>
    <mergeCell ref="K12:K13"/>
    <mergeCell ref="K16:K17"/>
    <mergeCell ref="K30:K31"/>
    <mergeCell ref="L4:L7"/>
    <mergeCell ref="L8:L9"/>
    <mergeCell ref="L10:L11"/>
    <mergeCell ref="L12:L13"/>
    <mergeCell ref="L14:L15"/>
    <mergeCell ref="L16:L17"/>
    <mergeCell ref="L18:L19"/>
    <mergeCell ref="L20:L21"/>
    <mergeCell ref="L22:L23"/>
    <mergeCell ref="L24:L25"/>
    <mergeCell ref="L26:L27"/>
    <mergeCell ref="L28:L29"/>
    <mergeCell ref="L30:L31"/>
    <mergeCell ref="L32:L33"/>
    <mergeCell ref="L34:L35"/>
    <mergeCell ref="L36:L37"/>
    <mergeCell ref="M4:M13"/>
    <mergeCell ref="M18:M29"/>
    <mergeCell ref="M30:M31"/>
    <mergeCell ref="M32:M33"/>
    <mergeCell ref="M34:M35"/>
    <mergeCell ref="M36:M37"/>
    <mergeCell ref="N4:N7"/>
    <mergeCell ref="N8:N9"/>
    <mergeCell ref="N10:N11"/>
    <mergeCell ref="N12:N13"/>
    <mergeCell ref="N18:N19"/>
    <mergeCell ref="N20:N21"/>
    <mergeCell ref="N22:N23"/>
    <mergeCell ref="N24:N25"/>
    <mergeCell ref="N26:N27"/>
    <mergeCell ref="N28:N29"/>
    <mergeCell ref="N30:N31"/>
    <mergeCell ref="N32:N33"/>
    <mergeCell ref="N34:N35"/>
    <mergeCell ref="N36:N37"/>
    <mergeCell ref="O26:O27"/>
    <mergeCell ref="O28:O29"/>
  </mergeCells>
  <pageMargins left="0.700694444444445" right="0.700694444444445" top="0.751388888888889" bottom="0.751388888888889" header="0.298611111111111" footer="0.298611111111111"/>
  <pageSetup paperSize="9" scale="83" orientation="landscape" horizontalDpi="600"/>
  <headerFooter alignWithMargins="0"/>
  <rowBreaks count="1" manualBreakCount="1">
    <brk id="17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脚手架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小猪锐</cp:lastModifiedBy>
  <dcterms:created xsi:type="dcterms:W3CDTF">2006-09-16T00:00:00Z</dcterms:created>
  <cp:lastPrinted>2019-02-13T09:08:00Z</cp:lastPrinted>
  <dcterms:modified xsi:type="dcterms:W3CDTF">2020-05-08T03:33:25Z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2052-11.1.0.9662</vt:lpwstr>
  </property>
</Properties>
</file>